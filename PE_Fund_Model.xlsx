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Quarters" sheetId="3" state="visible" r:id="rId5"/>
    <sheet name="LP Register" sheetId="4" state="visible" r:id="rId6"/>
    <sheet name="Portfolio Companies" sheetId="5" state="visible" r:id="rId7"/>
    <sheet name="Portfolio Marks" sheetId="6" state="visible" r:id="rId8"/>
    <sheet name="Mgmt Fee Schedule" sheetId="7" state="visible" r:id="rId9"/>
    <sheet name="Capital Call Schedule" sheetId="8" state="visible" r:id="rId10"/>
    <sheet name="Distribution Waterfall" sheetId="9" state="visible" r:id="rId11"/>
    <sheet name="NAV Rollforward" sheetId="10" state="visible" r:id="rId12"/>
    <sheet name="LP Capital Calls" sheetId="11" state="visible" r:id="rId13"/>
    <sheet name="LP Capital Accounts" sheetId="12" state="visible" r:id="rId14"/>
    <sheet name="LP Statement (Select LP)" sheetId="13" state="visible" r:id="rId15"/>
    <sheet name="IRR &amp; MOIC Summary" sheetId="14" state="visible" r:id="rId16"/>
    <sheet name="Variance Reconciliation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<sst xmlns="http://schemas.openxmlformats.org/spreadsheetml/2006/main" count="1765" uniqueCount="342">
  <si>
    <t xml:space="preserve">Meridian Growth Partners III, L.P.</t>
  </si>
  <si>
    <t xml:space="preserve">Capital Call, Distribution Waterfall &amp; NAV Model</t>
  </si>
  <si>
    <t xml:space="preserve">Prepared as of</t>
  </si>
  <si>
    <t xml:space="preserve">Q2 2026  (2026-06-30)</t>
  </si>
  <si>
    <t xml:space="preserve">Fund size (committed capital)</t>
  </si>
  <si>
    <t xml:space="preserve">Limited partners</t>
  </si>
  <si>
    <t xml:space="preserve">Vintage / investment period</t>
  </si>
  <si>
    <t xml:space="preserve">Q1 2022 – Q4 2024 (12 quarters)</t>
  </si>
  <si>
    <t xml:space="preserve">Fund term modeled</t>
  </si>
  <si>
    <t xml:space="preserve">Q1 2022 – Q2 2026 (18 quarters)</t>
  </si>
  <si>
    <t xml:space="preserve">How this workbook is organized</t>
  </si>
  <si>
    <t xml:space="preserve">Assumptions</t>
  </si>
  <si>
    <t xml:space="preserve">Fund terms: fee rate, preferred return, carry split, catch-up</t>
  </si>
  <si>
    <t xml:space="preserve">Quarters</t>
  </si>
  <si>
    <t xml:space="preserve">The 18-quarter calendar used throughout the model</t>
  </si>
  <si>
    <t xml:space="preserve">LP Register</t>
  </si>
  <si>
    <t xml:space="preserve">15 limited partners and their commitments</t>
  </si>
  <si>
    <t xml:space="preserve">Portfolio Companies</t>
  </si>
  <si>
    <t xml:space="preserve">10 portfolio company investments (cost, invest date, sector)</t>
  </si>
  <si>
    <t xml:space="preserve">Portfolio Marks</t>
  </si>
  <si>
    <t xml:space="preserve">Quarterly fair value marks and exit/recap events, by company</t>
  </si>
  <si>
    <t xml:space="preserve">Mgmt Fee Schedule</t>
  </si>
  <si>
    <t xml:space="preserve">2% of committed capital during the investment period, stepping down to 2% of invested cost thereafter</t>
  </si>
  <si>
    <t xml:space="preserve">Capital Call Schedule</t>
  </si>
  <si>
    <t xml:space="preserve">Fund-level quarterly capital calls (investment + fee)</t>
  </si>
  <si>
    <t xml:space="preserve">LP Capital Calls</t>
  </si>
  <si>
    <t xml:space="preserve">Each LP's pro-rata share of every capital call</t>
  </si>
  <si>
    <t xml:space="preserve">Distribution Waterfall</t>
  </si>
  <si>
    <t xml:space="preserve">Return of capital → 8% preferred return → GP catch-up → 80/20 carry split, run cumulatively by quarter</t>
  </si>
  <si>
    <t xml:space="preserve">NAV Rollforward</t>
  </si>
  <si>
    <t xml:space="preserve">Quarterly Beginning NAV → Ending NAV bridge</t>
  </si>
  <si>
    <t xml:space="preserve">LP Capital Accounts</t>
  </si>
  <si>
    <t xml:space="preserve">Each LP's quarterly capital account statement</t>
  </si>
  <si>
    <t xml:space="preserve">LP Statement (Select LP)</t>
  </si>
  <si>
    <t xml:space="preserve">A single formatted LP statement — pick any LP from the dropdown</t>
  </si>
  <si>
    <t xml:space="preserve">IRR &amp; MOIC Summary</t>
  </si>
  <si>
    <t xml:space="preserve">Gross (portfolio) and net (to-LP) IRR, MOIC, TVPI, DPI, RVPI</t>
  </si>
  <si>
    <t xml:space="preserve">Variance Reconciliation</t>
  </si>
  <si>
    <t xml:space="preserve">GP ledger vs. fund administrator records — 4 identified breaks</t>
  </si>
  <si>
    <t xml:space="preserve">Legend</t>
  </si>
  <si>
    <t xml:space="preserve">Blue text</t>
  </si>
  <si>
    <t xml:space="preserve">Hardcoded input</t>
  </si>
  <si>
    <t xml:space="preserve">Black text</t>
  </si>
  <si>
    <t xml:space="preserve">Formula</t>
  </si>
  <si>
    <t xml:space="preserve">Green text</t>
  </si>
  <si>
    <t xml:space="preserve">Link to another sheet</t>
  </si>
  <si>
    <t xml:space="preserve">Yellow fill</t>
  </si>
  <si>
    <t xml:space="preserve">Key assumption</t>
  </si>
  <si>
    <t xml:space="preserve">Synthetic fund for portfolio/demonstration purposes. All LPs, portfolio companies, valuations and cash flows are generated data — see README.md.</t>
  </si>
  <si>
    <t xml:space="preserve">Fund Assumptions</t>
  </si>
  <si>
    <t xml:space="preserve">Key economic terms — change these and the model recalculates</t>
  </si>
  <si>
    <t xml:space="preserve">Fund name</t>
  </si>
  <si>
    <t xml:space="preserve">Committed capital</t>
  </si>
  <si>
    <t xml:space="preserve">Number of LPs</t>
  </si>
  <si>
    <t xml:space="preserve">Investment period (quarters)</t>
  </si>
  <si>
    <t xml:space="preserve">Total quarters modeled</t>
  </si>
  <si>
    <t xml:space="preserve">Management fee rate (annual, % of committed capital during investment period)</t>
  </si>
  <si>
    <t xml:space="preserve">Management fee rate post-investment-period (annual, % of invested cost)</t>
  </si>
  <si>
    <t xml:space="preserve">Preferred return / hurdle rate (annual, compounded quarterly)</t>
  </si>
  <si>
    <t xml:space="preserve">GP catch-up (% of catch-up tier to GP)</t>
  </si>
  <si>
    <t xml:space="preserve">Carried interest rate (GP share of profit above hurdle)</t>
  </si>
  <si>
    <t xml:space="preserve">Waterfall structure</t>
  </si>
  <si>
    <t xml:space="preserve">1. Return of Capital — 100% to LPs until cumulative capital contributed has been returned</t>
  </si>
  <si>
    <t xml:space="preserve">2. Preferred Return — 100% to LPs until the compounding hurdle above is paid in full</t>
  </si>
  <si>
    <t xml:space="preserve">3. GP Catch-up — 100% to GP until GP has received 20% of (preferred + catch-up) paid to date</t>
  </si>
  <si>
    <t xml:space="preserve">4. Carried Interest Split — 80% LP / 20% GP on all remaining distributions</t>
  </si>
  <si>
    <t xml:space="preserve">Quarterly Calendar</t>
  </si>
  <si>
    <t xml:space="preserve">Quarter Index</t>
  </si>
  <si>
    <t xml:space="preserve">Year</t>
  </si>
  <si>
    <t xml:space="preserve">Quarter</t>
  </si>
  <si>
    <t xml:space="preserve">Label</t>
  </si>
  <si>
    <t xml:space="preserve">Quarter End</t>
  </si>
  <si>
    <t xml:space="preserve">In Investment Period</t>
  </si>
  <si>
    <t xml:space="preserve">Q1 2022</t>
  </si>
  <si>
    <t xml:space="preserve">Q2 2022</t>
  </si>
  <si>
    <t xml:space="preserve">Q3 2022</t>
  </si>
  <si>
    <t xml:space="preserve">Q4 2022</t>
  </si>
  <si>
    <t xml:space="preserve">Q1 2023</t>
  </si>
  <si>
    <t xml:space="preserve">Q2 2023</t>
  </si>
  <si>
    <t xml:space="preserve">Q3 2023</t>
  </si>
  <si>
    <t xml:space="preserve">Q4 2023</t>
  </si>
  <si>
    <t xml:space="preserve">Q1 2024</t>
  </si>
  <si>
    <t xml:space="preserve">Q2 2024</t>
  </si>
  <si>
    <t xml:space="preserve">Q3 2024</t>
  </si>
  <si>
    <t xml:space="preserve">Q4 2024</t>
  </si>
  <si>
    <t xml:space="preserve">Q1 2025</t>
  </si>
  <si>
    <t xml:space="preserve">Q2 2025</t>
  </si>
  <si>
    <t xml:space="preserve">Q3 2025</t>
  </si>
  <si>
    <t xml:space="preserve">Q4 2025</t>
  </si>
  <si>
    <t xml:space="preserve">Q1 2026</t>
  </si>
  <si>
    <t xml:space="preserve">Q2 2026</t>
  </si>
  <si>
    <t xml:space="preserve">15 limited partners, commitments summing to committed capital</t>
  </si>
  <si>
    <t xml:space="preserve">LP ID</t>
  </si>
  <si>
    <t xml:space="preserve">LP Name</t>
  </si>
  <si>
    <t xml:space="preserve">LP Type</t>
  </si>
  <si>
    <t xml:space="preserve">Commitment ($)</t>
  </si>
  <si>
    <t xml:space="preserve">Commitment %</t>
  </si>
  <si>
    <t xml:space="preserve">LP-01</t>
  </si>
  <si>
    <t xml:space="preserve">Northbridge State Pension Fund</t>
  </si>
  <si>
    <t xml:space="preserve">Pension Fund</t>
  </si>
  <si>
    <t xml:space="preserve">LP-02</t>
  </si>
  <si>
    <t xml:space="preserve">Meridian University Endowment</t>
  </si>
  <si>
    <t xml:space="preserve">Endowment</t>
  </si>
  <si>
    <t xml:space="preserve">LP-03</t>
  </si>
  <si>
    <t xml:space="preserve">Harborview Insurance Co.</t>
  </si>
  <si>
    <t xml:space="preserve">Insurance Company</t>
  </si>
  <si>
    <t xml:space="preserve">LP-04</t>
  </si>
  <si>
    <t xml:space="preserve">Cascade Partners Fund of Funds</t>
  </si>
  <si>
    <t xml:space="preserve">Fund of Funds</t>
  </si>
  <si>
    <t xml:space="preserve">LP-05</t>
  </si>
  <si>
    <t xml:space="preserve">Elmwood Family Office</t>
  </si>
  <si>
    <t xml:space="preserve">Family Office</t>
  </si>
  <si>
    <t xml:space="preserve">LP-06</t>
  </si>
  <si>
    <t xml:space="preserve">Tanager Sovereign Partners</t>
  </si>
  <si>
    <t xml:space="preserve">Sovereign Wealth Fund</t>
  </si>
  <si>
    <t xml:space="preserve">LP-07</t>
  </si>
  <si>
    <t xml:space="preserve">Birchwood College Endowment</t>
  </si>
  <si>
    <t xml:space="preserve">LP-08</t>
  </si>
  <si>
    <t xml:space="preserve">Kestrel Insurance Group</t>
  </si>
  <si>
    <t xml:space="preserve">LP-09</t>
  </si>
  <si>
    <t xml:space="preserve">Wrenfield Family Office</t>
  </si>
  <si>
    <t xml:space="preserve">LP-10</t>
  </si>
  <si>
    <t xml:space="preserve">Alder Street Foundation</t>
  </si>
  <si>
    <t xml:space="preserve">Foundation</t>
  </si>
  <si>
    <t xml:space="preserve">LP-11</t>
  </si>
  <si>
    <t xml:space="preserve">Pinecrest Pension Trust</t>
  </si>
  <si>
    <t xml:space="preserve">LP-12</t>
  </si>
  <si>
    <t xml:space="preserve">Ivywood Capital Partners (FoF)</t>
  </si>
  <si>
    <t xml:space="preserve">LP-13</t>
  </si>
  <si>
    <t xml:space="preserve">Grayling Family Office</t>
  </si>
  <si>
    <t xml:space="preserve">LP-14</t>
  </si>
  <si>
    <t xml:space="preserve">Redstone Family Office</t>
  </si>
  <si>
    <t xml:space="preserve">LP-15</t>
  </si>
  <si>
    <t xml:space="preserve">Sable Foundation</t>
  </si>
  <si>
    <t xml:space="preserve">Total</t>
  </si>
  <si>
    <t xml:space="preserve">10 investments made during the 3-year investment period</t>
  </si>
  <si>
    <t xml:space="preserve">Company ID</t>
  </si>
  <si>
    <t xml:space="preserve">Company Name</t>
  </si>
  <si>
    <t xml:space="preserve">Sector</t>
  </si>
  <si>
    <t xml:space="preserve">Invest Quarter #</t>
  </si>
  <si>
    <t xml:space="preserve">Invest Quarter</t>
  </si>
  <si>
    <t xml:space="preserve">Cost Basis ($)</t>
  </si>
  <si>
    <t xml:space="preserve">Notes</t>
  </si>
  <si>
    <t xml:space="preserve">PC-01</t>
  </si>
  <si>
    <t xml:space="preserve">Vantage Robotics</t>
  </si>
  <si>
    <t xml:space="preserve">Industrial Tech</t>
  </si>
  <si>
    <t xml:space="preserve">Strong performer — full exit</t>
  </si>
  <si>
    <t xml:space="preserve">PC-02</t>
  </si>
  <si>
    <t xml:space="preserve">Coastal Foods Group</t>
  </si>
  <si>
    <t xml:space="preserve">Consumer</t>
  </si>
  <si>
    <t xml:space="preserve">Steady grower — full exit</t>
  </si>
  <si>
    <t xml:space="preserve">PC-03</t>
  </si>
  <si>
    <t xml:space="preserve">Nimbus Data Systems</t>
  </si>
  <si>
    <t xml:space="preserve">Software</t>
  </si>
  <si>
    <t xml:space="preserve">Written down — held at reduced value</t>
  </si>
  <si>
    <t xml:space="preserve">PC-04</t>
  </si>
  <si>
    <t xml:space="preserve">Harbor Dental Partners</t>
  </si>
  <si>
    <t xml:space="preserve">Healthcare Services</t>
  </si>
  <si>
    <t xml:space="preserve">Dividend recap — partial realization, remainder held</t>
  </si>
  <si>
    <t xml:space="preserve">PC-05</t>
  </si>
  <si>
    <t xml:space="preserve">Trailhead Outdoor Co.</t>
  </si>
  <si>
    <t xml:space="preserve">Below-plan growth — held</t>
  </si>
  <si>
    <t xml:space="preserve">PC-06</t>
  </si>
  <si>
    <t xml:space="preserve">Summit Logistics</t>
  </si>
  <si>
    <t xml:space="preserve">Transportation</t>
  </si>
  <si>
    <t xml:space="preserve">PC-07</t>
  </si>
  <si>
    <t xml:space="preserve">BluePeak Software</t>
  </si>
  <si>
    <t xml:space="preserve">PC-08</t>
  </si>
  <si>
    <t xml:space="preserve">Ridgeline Materials</t>
  </si>
  <si>
    <t xml:space="preserve">Industrials</t>
  </si>
  <si>
    <t xml:space="preserve">PC-09</t>
  </si>
  <si>
    <t xml:space="preserve">Fairmont Health Services</t>
  </si>
  <si>
    <t xml:space="preserve">PC-10</t>
  </si>
  <si>
    <t xml:space="preserve">Alpine Consumer Brands</t>
  </si>
  <si>
    <t xml:space="preserve">Total invested at cost</t>
  </si>
  <si>
    <t xml:space="preserve">Qtr #</t>
  </si>
  <si>
    <t xml:space="preserve">Cost Basis ($, BOP)</t>
  </si>
  <si>
    <t xml:space="preserve">Fair Value ($)</t>
  </si>
  <si>
    <t xml:space="preserve">Event Type</t>
  </si>
  <si>
    <t xml:space="preserve">% Realized</t>
  </si>
  <si>
    <t xml:space="preserve">Proceeds ($)</t>
  </si>
  <si>
    <t xml:space="preserve">Realized Cost Basis ($)</t>
  </si>
  <si>
    <t xml:space="preserve">Realized Gain ($)</t>
  </si>
  <si>
    <t xml:space="preserve">full_exit</t>
  </si>
  <si>
    <t xml:space="preserve">partial_recap</t>
  </si>
  <si>
    <t xml:space="preserve">Management Fee Schedule</t>
  </si>
  <si>
    <t xml:space="preserve">2% of committed capital during the investment period; 2% of remaining invested cost thereafter</t>
  </si>
  <si>
    <t xml:space="preserve">Fee Basis ($)</t>
  </si>
  <si>
    <t xml:space="preserve">Fee Basis</t>
  </si>
  <si>
    <t xml:space="preserve">Management Fee ($)</t>
  </si>
  <si>
    <t xml:space="preserve">Fund-level quarterly capital calls — investment need + management fee</t>
  </si>
  <si>
    <t xml:space="preserve">Investment Call ($)</t>
  </si>
  <si>
    <t xml:space="preserve">Mgmt Fee Call ($)</t>
  </si>
  <si>
    <t xml:space="preserve">Total Call ($)</t>
  </si>
  <si>
    <t xml:space="preserve">Cumulative Called ($)</t>
  </si>
  <si>
    <t xml:space="preserve">Total / Unfunded Commitment</t>
  </si>
  <si>
    <t xml:space="preserve">(Unfunded commitment remaining)</t>
  </si>
  <si>
    <t xml:space="preserve">European (whole-fund) waterfall, run cumulatively by quarter: Return of Capital -&gt; Preferred Return -&gt; GP Catch-up -&gt; 80/20 Carry Split</t>
  </si>
  <si>
    <t xml:space="preserve">Distributable ($)</t>
  </si>
  <si>
    <t xml:space="preserve">Cum. Contributions (BOP)</t>
  </si>
  <si>
    <t xml:space="preserve">Cum. Contributions (EOP)</t>
  </si>
  <si>
    <t xml:space="preserve">Cum. ROC Distributed (BOP)</t>
  </si>
  <si>
    <t xml:space="preserve">Preferred Accrual (Qtr)</t>
  </si>
  <si>
    <t xml:space="preserve">Cum. Preferred Accrued (EOP)</t>
  </si>
  <si>
    <t xml:space="preserve">Cum. Preferred Paid (BOP)</t>
  </si>
  <si>
    <t xml:space="preserve">Cum. GP Catch-up Paid (BOP)</t>
  </si>
  <si>
    <t xml:space="preserve">Tier 1: Return of Capital</t>
  </si>
  <si>
    <t xml:space="preserve">Cum. ROC Distributed (EOP)</t>
  </si>
  <si>
    <t xml:space="preserve">Tier 2: Preferred Return</t>
  </si>
  <si>
    <t xml:space="preserve">Cum. Preferred Paid (EOP)</t>
  </si>
  <si>
    <t xml:space="preserve">Target Cum. Catch-up (Total)</t>
  </si>
  <si>
    <t xml:space="preserve">Tier 3: GP Catch-up</t>
  </si>
  <si>
    <t xml:space="preserve">Cum. GP Catch-up Paid (EOP)</t>
  </si>
  <si>
    <t xml:space="preserve">Tier 4: Carry (Total)</t>
  </si>
  <si>
    <t xml:space="preserve">Tier 4: Carry to LPs (80%)</t>
  </si>
  <si>
    <t xml:space="preserve">Tier 4: Carry to GP (20%)</t>
  </si>
  <si>
    <t xml:space="preserve">Total to LPs</t>
  </si>
  <si>
    <t xml:space="preserve">Total to GP</t>
  </si>
  <si>
    <t xml:space="preserve">0</t>
  </si>
  <si>
    <t xml:space="preserve">Cumulative</t>
  </si>
  <si>
    <t xml:space="preserve">Quarterly NAV Rollforward</t>
  </si>
  <si>
    <t xml:space="preserve">Beginning NAV -&gt; Ending NAV bridge, tying to portfolio fair values each quarter</t>
  </si>
  <si>
    <t xml:space="preserve">Beginning NAV</t>
  </si>
  <si>
    <t xml:space="preserve">Contributions</t>
  </si>
  <si>
    <t xml:space="preserve">Management Fees</t>
  </si>
  <si>
    <t xml:space="preserve">Realized Gain/(Loss)</t>
  </si>
  <si>
    <t xml:space="preserve">Unrealized Gain/(Loss)</t>
  </si>
  <si>
    <t xml:space="preserve">Distributions</t>
  </si>
  <si>
    <t xml:space="preserve">Ending NAV</t>
  </si>
  <si>
    <t xml:space="preserve">Ties?</t>
  </si>
  <si>
    <t xml:space="preserve">Each LP's pro-rata share of every quarterly capital call</t>
  </si>
  <si>
    <t xml:space="preserve">LP Capital Account Statements</t>
  </si>
  <si>
    <t xml:space="preserve">Each LP's quarterly capital account — beginning balance through ending balance</t>
  </si>
  <si>
    <t xml:space="preserve">Beginning Balance</t>
  </si>
  <si>
    <t xml:space="preserve">Dist: Return of Capital</t>
  </si>
  <si>
    <t xml:space="preserve">Dist: Preferred Return</t>
  </si>
  <si>
    <t xml:space="preserve">Dist: Carry Split (LP 80%)</t>
  </si>
  <si>
    <t xml:space="preserve">Total Cash Distributions</t>
  </si>
  <si>
    <t xml:space="preserve">Gain/(Loss) Allocation, Net of Fees</t>
  </si>
  <si>
    <t xml:space="preserve">Less: Carried Interest to GP</t>
  </si>
  <si>
    <t xml:space="preserve">Ending Balance</t>
  </si>
  <si>
    <t xml:space="preserve">Lookup Key</t>
  </si>
  <si>
    <t xml:space="preserve">Tie-out: sum of LP ending balances vs. Fund Ending NAV, final quarter</t>
  </si>
  <si>
    <t xml:space="preserve">Fund Ending NAV</t>
  </si>
  <si>
    <t xml:space="preserve">Check</t>
  </si>
  <si>
    <t xml:space="preserve">LP Capital Account Statement</t>
  </si>
  <si>
    <t xml:space="preserve">Pick any LP from the dropdown in C4 to view their full statement</t>
  </si>
  <si>
    <t xml:space="preserve">Select LP:</t>
  </si>
  <si>
    <t xml:space="preserve">Dist: ROC</t>
  </si>
  <si>
    <t xml:space="preserve">Dist: Pref</t>
  </si>
  <si>
    <t xml:space="preserve">Dist: Carry Split</t>
  </si>
  <si>
    <t xml:space="preserve">Total Cash Dist.</t>
  </si>
  <si>
    <t xml:space="preserve">Gain/(Loss) Alloc.</t>
  </si>
  <si>
    <t xml:space="preserve">Less: Carry to GP</t>
  </si>
  <si>
    <t xml:space="preserve">INDEX/MATCH on a Quarter#|LP ID key pulls this LP's row from the LP Capital Accounts sheet — pick a different LP above and every row updates.</t>
  </si>
  <si>
    <t xml:space="preserve">Fund Performance Summary</t>
  </si>
  <si>
    <t xml:space="preserve">As of Q2 2026</t>
  </si>
  <si>
    <t xml:space="preserve">Gross Cash Flows (portfolio level, pre-fee, pre-carry)</t>
  </si>
  <si>
    <t xml:space="preserve">Date</t>
  </si>
  <si>
    <t xml:space="preserve">Description</t>
  </si>
  <si>
    <t xml:space="preserve">Cash Flow ($)</t>
  </si>
  <si>
    <t xml:space="preserve">Investment: Vantage Robotics</t>
  </si>
  <si>
    <t xml:space="preserve">Investment: Coastal Foods Group</t>
  </si>
  <si>
    <t xml:space="preserve">Investment: Nimbus Data Systems</t>
  </si>
  <si>
    <t xml:space="preserve">Investment: Harbor Dental Partners</t>
  </si>
  <si>
    <t xml:space="preserve">Investment: Trailhead Outdoor Co.</t>
  </si>
  <si>
    <t xml:space="preserve">Investment: Summit Logistics</t>
  </si>
  <si>
    <t xml:space="preserve">Investment: BluePeak Software</t>
  </si>
  <si>
    <t xml:space="preserve">Investment: Ridgeline Materials</t>
  </si>
  <si>
    <t xml:space="preserve">Investment: Fairmont Health Services</t>
  </si>
  <si>
    <t xml:space="preserve">Investment: Alpine Consumer Brands</t>
  </si>
  <si>
    <t xml:space="preserve">Full exit: Vantage Robotics</t>
  </si>
  <si>
    <t xml:space="preserve">Full exit: Coastal Foods Group</t>
  </si>
  <si>
    <t xml:space="preserve">Partial recap: Harbor Dental Partners</t>
  </si>
  <si>
    <t xml:space="preserve">Full exit: Summit Logistics</t>
  </si>
  <si>
    <t xml:space="preserve">Full exit: BluePeak Software</t>
  </si>
  <si>
    <t xml:space="preserve">Full exit: Fairmont Health Services</t>
  </si>
  <si>
    <t xml:space="preserve">Remaining portfolio fair value (terminal)</t>
  </si>
  <si>
    <t xml:space="preserve">Gross IRR</t>
  </si>
  <si>
    <t xml:space="preserve">Gross MOIC</t>
  </si>
  <si>
    <t xml:space="preserve">Net Cash Flows (to LPs, post-fee, post-carry)</t>
  </si>
  <si>
    <t xml:space="preserve">Terminal LP NAV (residual value)</t>
  </si>
  <si>
    <t xml:space="preserve">Net IRR (to LPs)</t>
  </si>
  <si>
    <t xml:space="preserve">Net TVPI (Total Value / Paid-In)</t>
  </si>
  <si>
    <t xml:space="preserve">DPI (Distributed / Paid-In)</t>
  </si>
  <si>
    <t xml:space="preserve">RVPI (Residual Value / Paid-In)</t>
  </si>
  <si>
    <t xml:space="preserve">Gross IRR (portfolio)</t>
  </si>
  <si>
    <t xml:space="preserve">Gross MOIC (portfolio)</t>
  </si>
  <si>
    <t xml:space="preserve">Note</t>
  </si>
  <si>
    <t xml:space="preserve">All 15 LPs share identical timing (pro-rata by commitment %), so net IRR/MOIC is the same for every LP as for the fund overall.</t>
  </si>
  <si>
    <t xml:space="preserve">GP Ledger vs. Fund Administrator — Variance Reconciliation</t>
  </si>
  <si>
    <t xml:space="preserve">Tie-out as of Q2 2026</t>
  </si>
  <si>
    <t xml:space="preserve">Summary of breaks</t>
  </si>
  <si>
    <t xml:space="preserve">Break</t>
  </si>
  <si>
    <t xml:space="preserve">Category</t>
  </si>
  <si>
    <t xml:space="preserve">GP Ledger ($)</t>
  </si>
  <si>
    <t xml:space="preserve">Fund Admin ($)</t>
  </si>
  <si>
    <t xml:space="preserve">Variance ($)</t>
  </si>
  <si>
    <t xml:space="preserve">Status</t>
  </si>
  <si>
    <t xml:space="preserve">R-1</t>
  </si>
  <si>
    <t xml:space="preserve">Timing difference (Q9 capital call settlement lag)</t>
  </si>
  <si>
    <t xml:space="preserve">Resolved — timing only, nets to zero by Q10</t>
  </si>
  <si>
    <t xml:space="preserve">R-2</t>
  </si>
  <si>
    <t xml:space="preserve">Management fee basis error (Q13-Q16 billed on committed capital, not stepped-down)</t>
  </si>
  <si>
    <t xml:space="preserve">Open — adjusting entry pending LP notice</t>
  </si>
  <si>
    <t xml:space="preserve">R-3</t>
  </si>
  <si>
    <t xml:space="preserve">Distribution character misclassification (Q2 2026 recap booked outside the waterfall)</t>
  </si>
  <si>
    <t xml:space="preserve">Open — reclassification and GP remittance pending</t>
  </si>
  <si>
    <t xml:space="preserve">R-4</t>
  </si>
  <si>
    <t xml:space="preserve">Unreconciled cash break (Q3 2025 outgoing wire fee)</t>
  </si>
  <si>
    <t xml:space="preserve">Resolved — booked to fund operating expenses</t>
  </si>
  <si>
    <t xml:space="preserve">R-2 detail: fee basis error by quarter</t>
  </si>
  <si>
    <t xml:space="preserve">GP Ledger Fee ($)</t>
  </si>
  <si>
    <t xml:space="preserve">Fund Admin Fee ($)</t>
  </si>
  <si>
    <t xml:space="preserve">R-3 detail: counterfactual — Q2 2026 waterfall as the fund administrator (incorrectly) ran it</t>
  </si>
  <si>
    <t xml:space="preserve">Admin remitted the Harbor Dental recap 100% as return of capital, outside the tiers, then ran the tiered waterfall on the quarter's other two exits only.</t>
  </si>
  <si>
    <t xml:space="preserve">Harbor Dental recap proceeds (paid as pure ROC by admin)</t>
  </si>
  <si>
    <t xml:space="preserve">Distributable run through admin's tiers (Q18 total less the recap)</t>
  </si>
  <si>
    <t xml:space="preserve">Cumulative contributions, EOP (unaffected)</t>
  </si>
  <si>
    <t xml:space="preserve">Cumulative ROC distributed, BOP — inflated by the mis-booked recap</t>
  </si>
  <si>
    <t xml:space="preserve">Cumulative preferred accrued, EOP (unaffected)</t>
  </si>
  <si>
    <t xml:space="preserve">Cumulative preferred paid, BOP (unaffected)</t>
  </si>
  <si>
    <t xml:space="preserve">Cumulative GP catch-up paid, BOP (unaffected)</t>
  </si>
  <si>
    <t xml:space="preserve">Tier 1 (admin): Return of Capital</t>
  </si>
  <si>
    <t xml:space="preserve">Tier 2 (admin): Preferred Return</t>
  </si>
  <si>
    <t xml:space="preserve">Cumulative preferred paid, EOP (admin)</t>
  </si>
  <si>
    <t xml:space="preserve">Target cumulative GP catch-up (admin)</t>
  </si>
  <si>
    <t xml:space="preserve">Tier 3 (admin): GP Catch-up</t>
  </si>
  <si>
    <t xml:space="preserve">Tier 4 (admin): Carry (total)</t>
  </si>
  <si>
    <t xml:space="preserve">Tier 4 (admin): Carry to GP (20%)</t>
  </si>
  <si>
    <t xml:space="preserve">Total to GP under admin's (incorrect) sequencing</t>
  </si>
  <si>
    <t xml:space="preserve">Total to GP per GP ledger (correct sequencing)</t>
  </si>
  <si>
    <t xml:space="preserve">Gross open variance (R-2 + R-3, absolute value)</t>
  </si>
  <si>
    <t xml:space="preserve">Break descriptions &amp; resolution</t>
  </si>
  <si>
    <t xml:space="preserve">Q9 (Q1 2024) capital call: GP ledger records LP contributions on trade date (2024-01-15). Fund administrator books on wire settlement date; two LPs' wires cleared after quarter-end and landed in the Q10 admin ledger.</t>
  </si>
  <si>
    <t xml:space="preserve">Resolution: No adjusting entry required — timing-only difference. Confirmed both LP wires received in full; Q10 fund admin capital call report shows the offsetting +$510,000.00, netting to zero across the two quarters.</t>
  </si>
  <si>
    <t xml:space="preserve">Per the LPA, management fee steps down from 2% of committed capital to 2% of remaining invested cost after the investment period ends (Q4 2024). Fund administrator's fee calculation continued billing 2% of committed capital for Q13-Q16 before the step-down was applied starting Q17.</t>
  </si>
  <si>
    <t xml:space="preserve">Resolution: Adjusting entry required: credit LP capital accounts $150,000.00 (pro rata by commitment %) for fees over-charged Q13-Q16; fund administrator instructed to apply the step-down formula (2% x prior-quarter remaining invested cost) going forward.</t>
  </si>
  <si>
    <t xml:space="preserve">Harbor Dental Partners Q2 2026 dividend recap ($6,125,185.45, 60% partial realization), paid alongside the BluePeak Software and Fairmont Health full exits in the same quarter: fund administrator's system flagged the recap as a recapitalization rather than a standard realization and remitted it 100% as return of capital outside the tiered waterfall, before running the preferred return / catch-up / carry tiers on the quarter's other two exits. The LPA requires every cash distribution — recap or sale — to pass through the same waterfall in the order it is received.</t>
  </si>
  <si>
    <t xml:space="preserve">Resolution: Adjusting entry required: re-sequence the Q2 2026 distribution through the waterfall in receipt order (recap included), and remit the GP the additional $328,903.34 in carried interest the misclassification under-paid.</t>
  </si>
  <si>
    <t xml:space="preserve">Q15 (Q3 2025) LP distribution: fund administrator's bank netted a $375.00 outgoing wire fee against one LP's distribution payment; the fee was not recorded in the GP's internal ledger.</t>
  </si>
  <si>
    <t xml:space="preserve">Resolution: Booked to fund operating expenses; immaterial, no LP notice required.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</si>
</sst>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"/>
    <numFmt numFmtId="167" formatCode="yyyy\-mm\-dd"/>
    <numFmt numFmtId="168" formatCode="0.00%"/>
    <numFmt numFmtId="169" formatCode="0.0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1F4E5F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60"/>
    <col collapsed="false" customWidth="true" hidden="false" outlineLevel="0" max="4" min="4" style="1" width="3"/>
  </cols>
  <sheetData>
    <row r="1" customFormat="false" ht="21.75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1</v>
      </c>
      <c r="B2" s="3"/>
      <c r="C2" s="3"/>
    </row>
    <row r="4" customFormat="false" ht="15" hidden="false" customHeight="true" outlineLevel="0" collapsed="false">
      <c r="B4" s="4" t="s">
        <v>2</v>
      </c>
      <c r="C4" s="1" t="s">
        <v>3</v>
      </c>
    </row>
    <row r="5" customFormat="false" ht="15" hidden="false" customHeight="true" outlineLevel="0" collapsed="false">
      <c r="B5" s="4" t="s">
        <v>4</v>
      </c>
      <c r="C5" s="5" t="n">
        <v>50000000</v>
      </c>
    </row>
    <row r="6" customFormat="false" ht="15" hidden="false" customHeight="true" outlineLevel="0" collapsed="false">
      <c r="B6" s="4" t="s">
        <v>5</v>
      </c>
      <c r="C6" s="1" t="n">
        <v>15</v>
      </c>
    </row>
    <row r="7" customFormat="false" ht="15" hidden="false" customHeight="true" outlineLevel="0" collapsed="false">
      <c r="B7" s="4" t="s">
        <v>6</v>
      </c>
      <c r="C7" s="1" t="s">
        <v>7</v>
      </c>
    </row>
    <row r="8" customFormat="false" ht="15" hidden="false" customHeight="true" outlineLevel="0" collapsed="false">
      <c r="B8" s="4" t="s">
        <v>8</v>
      </c>
      <c r="C8" s="1" t="s">
        <v>9</v>
      </c>
    </row>
    <row r="10" customFormat="false" ht="15" hidden="false" customHeight="true" outlineLevel="0" collapsed="false">
      <c r="B10" s="6" t="s">
        <v>10</v>
      </c>
    </row>
    <row r="11" customFormat="false" ht="15" hidden="false" customHeight="true" outlineLevel="0" collapsed="false">
      <c r="B11" s="4" t="s">
        <v>11</v>
      </c>
      <c r="C11" s="7" t="s">
        <v>12</v>
      </c>
    </row>
    <row r="12" customFormat="false" ht="15" hidden="false" customHeight="true" outlineLevel="0" collapsed="false">
      <c r="B12" s="4" t="s">
        <v>13</v>
      </c>
      <c r="C12" s="7" t="s">
        <v>14</v>
      </c>
    </row>
    <row r="13" customFormat="false" ht="15" hidden="false" customHeight="true" outlineLevel="0" collapsed="false">
      <c r="B13" s="4" t="s">
        <v>15</v>
      </c>
      <c r="C13" s="7" t="s">
        <v>16</v>
      </c>
    </row>
    <row r="14" customFormat="false" ht="15" hidden="false" customHeight="true" outlineLevel="0" collapsed="false">
      <c r="B14" s="4" t="s">
        <v>17</v>
      </c>
      <c r="C14" s="7" t="s">
        <v>18</v>
      </c>
    </row>
    <row r="15" customFormat="false" ht="15" hidden="false" customHeight="true" outlineLevel="0" collapsed="false">
      <c r="B15" s="4" t="s">
        <v>19</v>
      </c>
      <c r="C15" s="7" t="s">
        <v>20</v>
      </c>
    </row>
    <row r="16" customFormat="false" ht="15" hidden="false" customHeight="true" outlineLevel="0" collapsed="false">
      <c r="B16" s="4" t="s">
        <v>21</v>
      </c>
      <c r="C16" s="7" t="s">
        <v>22</v>
      </c>
    </row>
    <row r="17" customFormat="false" ht="15" hidden="false" customHeight="true" outlineLevel="0" collapsed="false">
      <c r="B17" s="4" t="s">
        <v>23</v>
      </c>
      <c r="C17" s="7" t="s">
        <v>24</v>
      </c>
    </row>
    <row r="18" customFormat="false" ht="15" hidden="false" customHeight="true" outlineLevel="0" collapsed="false">
      <c r="B18" s="4" t="s">
        <v>25</v>
      </c>
      <c r="C18" s="7" t="s">
        <v>26</v>
      </c>
    </row>
    <row r="19" customFormat="false" ht="15" hidden="false" customHeight="true" outlineLevel="0" collapsed="false">
      <c r="B19" s="4" t="s">
        <v>27</v>
      </c>
      <c r="C19" s="7" t="s">
        <v>28</v>
      </c>
    </row>
    <row r="20" customFormat="false" ht="15" hidden="false" customHeight="true" outlineLevel="0" collapsed="false">
      <c r="B20" s="4" t="s">
        <v>29</v>
      </c>
      <c r="C20" s="7" t="s">
        <v>30</v>
      </c>
    </row>
    <row r="21" customFormat="false" ht="15" hidden="false" customHeight="true" outlineLevel="0" collapsed="false">
      <c r="B21" s="4" t="s">
        <v>31</v>
      </c>
      <c r="C21" s="7" t="s">
        <v>32</v>
      </c>
    </row>
    <row r="22" customFormat="false" ht="15" hidden="false" customHeight="true" outlineLevel="0" collapsed="false">
      <c r="B22" s="4" t="s">
        <v>33</v>
      </c>
      <c r="C22" s="7" t="s">
        <v>34</v>
      </c>
    </row>
    <row r="23" customFormat="false" ht="15" hidden="false" customHeight="true" outlineLevel="0" collapsed="false">
      <c r="B23" s="4" t="s">
        <v>35</v>
      </c>
      <c r="C23" s="7" t="s">
        <v>36</v>
      </c>
    </row>
    <row r="24" customFormat="false" ht="15" hidden="false" customHeight="true" outlineLevel="0" collapsed="false">
      <c r="B24" s="4" t="s">
        <v>37</v>
      </c>
      <c r="C24" s="7" t="s">
        <v>38</v>
      </c>
    </row>
    <row r="26" customFormat="false" ht="15" hidden="false" customHeight="true" outlineLevel="0" collapsed="false">
      <c r="B26" s="6" t="s">
        <v>39</v>
      </c>
    </row>
    <row r="27" customFormat="false" ht="15" hidden="false" customHeight="true" outlineLevel="0" collapsed="false">
      <c r="B27" s="8" t="s">
        <v>40</v>
      </c>
      <c r="C27" s="7" t="s">
        <v>41</v>
      </c>
    </row>
    <row r="28" customFormat="false" ht="15" hidden="false" customHeight="true" outlineLevel="0" collapsed="false">
      <c r="B28" s="7" t="s">
        <v>42</v>
      </c>
      <c r="C28" s="7" t="s">
        <v>43</v>
      </c>
    </row>
    <row r="29" customFormat="false" ht="15" hidden="false" customHeight="true" outlineLevel="0" collapsed="false">
      <c r="B29" s="9" t="s">
        <v>44</v>
      </c>
      <c r="C29" s="7" t="s">
        <v>45</v>
      </c>
    </row>
    <row r="30" customFormat="false" ht="15" hidden="false" customHeight="true" outlineLevel="0" collapsed="false">
      <c r="B30" s="10" t="s">
        <v>46</v>
      </c>
      <c r="C30" s="7" t="s">
        <v>47</v>
      </c>
    </row>
    <row r="32" customFormat="false" ht="15" hidden="false" customHeight="true" outlineLevel="0" collapsed="false">
      <c r="B32" s="11" t="s">
        <v>48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20"/>
    <col collapsed="false" customWidth="true" hidden="false" outlineLevel="0" max="4" min="4" style="1" width="3"/>
  </cols>
  <sheetData>
    <row r="1" customFormat="false" ht="21.75" hidden="false" customHeight="true" outlineLevel="0" collapsed="false">
      <c r="A1" s="2" t="s">
        <v>49</v>
      </c>
      <c r="B1" s="2"/>
      <c r="C1" s="2"/>
    </row>
    <row r="2" customFormat="false" ht="15" hidden="false" customHeight="true" outlineLevel="0" collapsed="false">
      <c r="A2" s="3" t="s">
        <v>50</v>
      </c>
      <c r="B2" s="3"/>
      <c r="C2" s="3"/>
    </row>
    <row r="4" customFormat="false" ht="15" hidden="false" customHeight="true" outlineLevel="0" collapsed="false">
      <c r="B4" s="7" t="s">
        <v>51</v>
      </c>
      <c r="C4" s="12" t="s">
        <v>0</v>
      </c>
    </row>
    <row r="5" customFormat="false" ht="15" hidden="false" customHeight="true" outlineLevel="0" collapsed="false">
      <c r="B5" s="7" t="s">
        <v>52</v>
      </c>
      <c r="C5" s="13" t="n">
        <v>50000000</v>
      </c>
    </row>
    <row r="6" customFormat="false" ht="15" hidden="false" customHeight="true" outlineLevel="0" collapsed="false">
      <c r="B6" s="7" t="s">
        <v>53</v>
      </c>
      <c r="C6" s="12" t="n">
        <v>15</v>
      </c>
    </row>
    <row r="7" customFormat="false" ht="15" hidden="false" customHeight="true" outlineLevel="0" collapsed="false">
      <c r="B7" s="7" t="s">
        <v>54</v>
      </c>
      <c r="C7" s="12" t="n">
        <v>12</v>
      </c>
    </row>
    <row r="8" customFormat="false" ht="15" hidden="false" customHeight="true" outlineLevel="0" collapsed="false">
      <c r="B8" s="7" t="s">
        <v>55</v>
      </c>
      <c r="C8" s="12" t="n">
        <v>18</v>
      </c>
    </row>
    <row r="9" customFormat="false" ht="15" hidden="false" customHeight="true" outlineLevel="0" collapsed="false">
      <c r="B9" s="7" t="s">
        <v>56</v>
      </c>
      <c r="C9" s="14" t="n">
        <v>0.02</v>
      </c>
    </row>
    <row r="10" customFormat="false" ht="15" hidden="false" customHeight="true" outlineLevel="0" collapsed="false">
      <c r="B10" s="7" t="s">
        <v>57</v>
      </c>
      <c r="C10" s="14" t="n">
        <v>0.02</v>
      </c>
    </row>
    <row r="11" customFormat="false" ht="15" hidden="false" customHeight="true" outlineLevel="0" collapsed="false">
      <c r="B11" s="7" t="s">
        <v>58</v>
      </c>
      <c r="C11" s="14" t="n">
        <v>0.08</v>
      </c>
    </row>
    <row r="12" customFormat="false" ht="15" hidden="false" customHeight="true" outlineLevel="0" collapsed="false">
      <c r="B12" s="7" t="s">
        <v>59</v>
      </c>
      <c r="C12" s="14" t="n">
        <v>1</v>
      </c>
    </row>
    <row r="13" customFormat="false" ht="15" hidden="false" customHeight="true" outlineLevel="0" collapsed="false">
      <c r="B13" s="7" t="s">
        <v>60</v>
      </c>
      <c r="C13" s="14" t="n">
        <v>0.2</v>
      </c>
    </row>
    <row r="15" customFormat="false" ht="15" hidden="false" customHeight="true" outlineLevel="0" collapsed="false">
      <c r="B15" s="6" t="s">
        <v>61</v>
      </c>
    </row>
    <row r="16" customFormat="false" ht="15" hidden="false" customHeight="true" outlineLevel="0" collapsed="false">
      <c r="B16" s="7" t="s">
        <v>62</v>
      </c>
    </row>
    <row r="17" customFormat="false" ht="15" hidden="false" customHeight="true" outlineLevel="0" collapsed="false">
      <c r="B17" s="7" t="s">
        <v>63</v>
      </c>
    </row>
    <row r="18" customFormat="false" ht="15" hidden="false" customHeight="true" outlineLevel="0" collapsed="false">
      <c r="B18" s="7" t="s">
        <v>64</v>
      </c>
    </row>
    <row r="19" customFormat="false" ht="15" hidden="false" customHeight="true" outlineLevel="0" collapsed="false">
      <c r="B19" s="7" t="s">
        <v>65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4" min="3" style="1" width="10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0"/>
  </cols>
  <sheetData>
    <row r="1" customFormat="false" ht="21.75" hidden="false" customHeight="true" outlineLevel="0" collapsed="false">
      <c r="A1" s="2" t="s">
        <v>66</v>
      </c>
      <c r="B1" s="2"/>
      <c r="C1" s="2"/>
      <c r="D1" s="2"/>
      <c r="E1" s="2"/>
      <c r="F1" s="2"/>
    </row>
    <row r="3" customFormat="false" ht="34.5" hidden="false" customHeight="true" outlineLevel="0" collapsed="false">
      <c r="B3" s="15" t="s">
        <v>67</v>
      </c>
      <c r="C3" s="15" t="s">
        <v>68</v>
      </c>
      <c r="D3" s="15" t="s">
        <v>69</v>
      </c>
      <c r="E3" s="15" t="s">
        <v>70</v>
      </c>
      <c r="F3" s="15" t="s">
        <v>71</v>
      </c>
      <c r="G3" s="15" t="s">
        <v>72</v>
      </c>
    </row>
    <row r="4" customFormat="false" ht="15" hidden="false" customHeight="true" outlineLevel="0" collapsed="false">
      <c r="B4" s="7" t="n">
        <v>1</v>
      </c>
      <c r="C4" s="8" t="n">
        <v>2022</v>
      </c>
      <c r="D4" s="8" t="n">
        <v>1</v>
      </c>
      <c r="E4" s="8" t="s">
        <v>73</v>
      </c>
      <c r="F4" s="16" t="n">
        <v>44651</v>
      </c>
      <c r="G4" s="17" t="b">
        <f aca="false">B4&lt;=Assumptions!$C$7</f>
        <v>1</v>
      </c>
    </row>
    <row r="5" customFormat="false" ht="15" hidden="false" customHeight="true" outlineLevel="0" collapsed="false">
      <c r="B5" s="7" t="n">
        <v>2</v>
      </c>
      <c r="C5" s="8" t="n">
        <v>2022</v>
      </c>
      <c r="D5" s="8" t="n">
        <v>2</v>
      </c>
      <c r="E5" s="8" t="s">
        <v>74</v>
      </c>
      <c r="F5" s="16" t="n">
        <v>44742</v>
      </c>
      <c r="G5" s="17" t="b">
        <f aca="false">B5&lt;=Assumptions!$C$7</f>
        <v>1</v>
      </c>
    </row>
    <row r="6" customFormat="false" ht="15" hidden="false" customHeight="true" outlineLevel="0" collapsed="false">
      <c r="B6" s="7" t="n">
        <v>3</v>
      </c>
      <c r="C6" s="8" t="n">
        <v>2022</v>
      </c>
      <c r="D6" s="8" t="n">
        <v>3</v>
      </c>
      <c r="E6" s="8" t="s">
        <v>75</v>
      </c>
      <c r="F6" s="16" t="n">
        <v>44834</v>
      </c>
      <c r="G6" s="17" t="b">
        <f aca="false">B6&lt;=Assumptions!$C$7</f>
        <v>1</v>
      </c>
    </row>
    <row r="7" customFormat="false" ht="15" hidden="false" customHeight="true" outlineLevel="0" collapsed="false">
      <c r="B7" s="7" t="n">
        <v>4</v>
      </c>
      <c r="C7" s="8" t="n">
        <v>2022</v>
      </c>
      <c r="D7" s="8" t="n">
        <v>4</v>
      </c>
      <c r="E7" s="8" t="s">
        <v>76</v>
      </c>
      <c r="F7" s="16" t="n">
        <v>44926</v>
      </c>
      <c r="G7" s="17" t="b">
        <f aca="false">B7&lt;=Assumptions!$C$7</f>
        <v>1</v>
      </c>
    </row>
    <row r="8" customFormat="false" ht="15" hidden="false" customHeight="true" outlineLevel="0" collapsed="false">
      <c r="B8" s="7" t="n">
        <v>5</v>
      </c>
      <c r="C8" s="8" t="n">
        <v>2023</v>
      </c>
      <c r="D8" s="8" t="n">
        <v>1</v>
      </c>
      <c r="E8" s="8" t="s">
        <v>77</v>
      </c>
      <c r="F8" s="16" t="n">
        <v>45016</v>
      </c>
      <c r="G8" s="17" t="b">
        <f aca="false">B8&lt;=Assumptions!$C$7</f>
        <v>1</v>
      </c>
    </row>
    <row r="9" customFormat="false" ht="15" hidden="false" customHeight="true" outlineLevel="0" collapsed="false">
      <c r="B9" s="7" t="n">
        <v>6</v>
      </c>
      <c r="C9" s="8" t="n">
        <v>2023</v>
      </c>
      <c r="D9" s="8" t="n">
        <v>2</v>
      </c>
      <c r="E9" s="8" t="s">
        <v>78</v>
      </c>
      <c r="F9" s="16" t="n">
        <v>45107</v>
      </c>
      <c r="G9" s="17" t="b">
        <f aca="false">B9&lt;=Assumptions!$C$7</f>
        <v>1</v>
      </c>
    </row>
    <row r="10" customFormat="false" ht="15" hidden="false" customHeight="true" outlineLevel="0" collapsed="false">
      <c r="B10" s="7" t="n">
        <v>7</v>
      </c>
      <c r="C10" s="8" t="n">
        <v>2023</v>
      </c>
      <c r="D10" s="8" t="n">
        <v>3</v>
      </c>
      <c r="E10" s="8" t="s">
        <v>79</v>
      </c>
      <c r="F10" s="16" t="n">
        <v>45199</v>
      </c>
      <c r="G10" s="17" t="b">
        <f aca="false">B10&lt;=Assumptions!$C$7</f>
        <v>1</v>
      </c>
    </row>
    <row r="11" customFormat="false" ht="15" hidden="false" customHeight="true" outlineLevel="0" collapsed="false">
      <c r="B11" s="7" t="n">
        <v>8</v>
      </c>
      <c r="C11" s="8" t="n">
        <v>2023</v>
      </c>
      <c r="D11" s="8" t="n">
        <v>4</v>
      </c>
      <c r="E11" s="8" t="s">
        <v>80</v>
      </c>
      <c r="F11" s="16" t="n">
        <v>45291</v>
      </c>
      <c r="G11" s="17" t="b">
        <f aca="false">B11&lt;=Assumptions!$C$7</f>
        <v>1</v>
      </c>
    </row>
    <row r="12" customFormat="false" ht="15" hidden="false" customHeight="true" outlineLevel="0" collapsed="false">
      <c r="B12" s="7" t="n">
        <v>9</v>
      </c>
      <c r="C12" s="8" t="n">
        <v>2024</v>
      </c>
      <c r="D12" s="8" t="n">
        <v>1</v>
      </c>
      <c r="E12" s="8" t="s">
        <v>81</v>
      </c>
      <c r="F12" s="16" t="n">
        <v>45382</v>
      </c>
      <c r="G12" s="17" t="b">
        <f aca="false">B12&lt;=Assumptions!$C$7</f>
        <v>1</v>
      </c>
    </row>
    <row r="13" customFormat="false" ht="15" hidden="false" customHeight="true" outlineLevel="0" collapsed="false">
      <c r="B13" s="7" t="n">
        <v>10</v>
      </c>
      <c r="C13" s="8" t="n">
        <v>2024</v>
      </c>
      <c r="D13" s="8" t="n">
        <v>2</v>
      </c>
      <c r="E13" s="8" t="s">
        <v>82</v>
      </c>
      <c r="F13" s="16" t="n">
        <v>45473</v>
      </c>
      <c r="G13" s="17" t="b">
        <f aca="false">B13&lt;=Assumptions!$C$7</f>
        <v>1</v>
      </c>
    </row>
    <row r="14" customFormat="false" ht="15" hidden="false" customHeight="true" outlineLevel="0" collapsed="false">
      <c r="B14" s="7" t="n">
        <v>11</v>
      </c>
      <c r="C14" s="8" t="n">
        <v>2024</v>
      </c>
      <c r="D14" s="8" t="n">
        <v>3</v>
      </c>
      <c r="E14" s="8" t="s">
        <v>83</v>
      </c>
      <c r="F14" s="16" t="n">
        <v>45565</v>
      </c>
      <c r="G14" s="17" t="b">
        <f aca="false">B14&lt;=Assumptions!$C$7</f>
        <v>1</v>
      </c>
    </row>
    <row r="15" customFormat="false" ht="15" hidden="false" customHeight="true" outlineLevel="0" collapsed="false">
      <c r="B15" s="7" t="n">
        <v>12</v>
      </c>
      <c r="C15" s="8" t="n">
        <v>2024</v>
      </c>
      <c r="D15" s="8" t="n">
        <v>4</v>
      </c>
      <c r="E15" s="8" t="s">
        <v>84</v>
      </c>
      <c r="F15" s="16" t="n">
        <v>45657</v>
      </c>
      <c r="G15" s="17" t="b">
        <f aca="false">B15&lt;=Assumptions!$C$7</f>
        <v>1</v>
      </c>
    </row>
    <row r="16" customFormat="false" ht="15" hidden="false" customHeight="true" outlineLevel="0" collapsed="false">
      <c r="B16" s="7" t="n">
        <v>13</v>
      </c>
      <c r="C16" s="8" t="n">
        <v>2025</v>
      </c>
      <c r="D16" s="8" t="n">
        <v>1</v>
      </c>
      <c r="E16" s="8" t="s">
        <v>85</v>
      </c>
      <c r="F16" s="16" t="n">
        <v>45747</v>
      </c>
      <c r="G16" s="17" t="b">
        <f aca="false">B16&lt;=Assumptions!$C$7</f>
        <v>0</v>
      </c>
    </row>
    <row r="17" customFormat="false" ht="15" hidden="false" customHeight="true" outlineLevel="0" collapsed="false">
      <c r="B17" s="7" t="n">
        <v>14</v>
      </c>
      <c r="C17" s="8" t="n">
        <v>2025</v>
      </c>
      <c r="D17" s="8" t="n">
        <v>2</v>
      </c>
      <c r="E17" s="8" t="s">
        <v>86</v>
      </c>
      <c r="F17" s="16" t="n">
        <v>45838</v>
      </c>
      <c r="G17" s="17" t="b">
        <f aca="false">B17&lt;=Assumptions!$C$7</f>
        <v>0</v>
      </c>
    </row>
    <row r="18" customFormat="false" ht="15" hidden="false" customHeight="true" outlineLevel="0" collapsed="false">
      <c r="B18" s="7" t="n">
        <v>15</v>
      </c>
      <c r="C18" s="8" t="n">
        <v>2025</v>
      </c>
      <c r="D18" s="8" t="n">
        <v>3</v>
      </c>
      <c r="E18" s="8" t="s">
        <v>87</v>
      </c>
      <c r="F18" s="16" t="n">
        <v>45930</v>
      </c>
      <c r="G18" s="17" t="b">
        <f aca="false">B18&lt;=Assumptions!$C$7</f>
        <v>0</v>
      </c>
    </row>
    <row r="19" customFormat="false" ht="15" hidden="false" customHeight="true" outlineLevel="0" collapsed="false">
      <c r="B19" s="7" t="n">
        <v>16</v>
      </c>
      <c r="C19" s="8" t="n">
        <v>2025</v>
      </c>
      <c r="D19" s="8" t="n">
        <v>4</v>
      </c>
      <c r="E19" s="8" t="s">
        <v>88</v>
      </c>
      <c r="F19" s="16" t="n">
        <v>46022</v>
      </c>
      <c r="G19" s="17" t="b">
        <f aca="false">B19&lt;=Assumptions!$C$7</f>
        <v>0</v>
      </c>
    </row>
    <row r="20" customFormat="false" ht="15" hidden="false" customHeight="true" outlineLevel="0" collapsed="false">
      <c r="B20" s="7" t="n">
        <v>17</v>
      </c>
      <c r="C20" s="8" t="n">
        <v>2026</v>
      </c>
      <c r="D20" s="8" t="n">
        <v>1</v>
      </c>
      <c r="E20" s="8" t="s">
        <v>89</v>
      </c>
      <c r="F20" s="16" t="n">
        <v>46112</v>
      </c>
      <c r="G20" s="17" t="b">
        <f aca="false">B20&lt;=Assumptions!$C$7</f>
        <v>0</v>
      </c>
    </row>
    <row r="21" customFormat="false" ht="15" hidden="false" customHeight="true" outlineLevel="0" collapsed="false">
      <c r="B21" s="7" t="n">
        <v>18</v>
      </c>
      <c r="C21" s="8" t="n">
        <v>2026</v>
      </c>
      <c r="D21" s="8" t="n">
        <v>2</v>
      </c>
      <c r="E21" s="8" t="s">
        <v>90</v>
      </c>
      <c r="F21" s="16" t="n">
        <v>46203</v>
      </c>
      <c r="G21" s="17" t="b">
        <f aca="false">B21&lt;=Assumptions!$C$7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4" min="4" style="1" width="20"/>
    <col collapsed="false" customWidth="true" hidden="false" outlineLevel="0" max="5" min="5" style="1" width="16"/>
    <col collapsed="false" customWidth="true" hidden="false" outlineLevel="0" max="6" min="6" style="1" width="12"/>
  </cols>
  <sheetData>
    <row r="1" customFormat="false" ht="21.75" hidden="false" customHeight="true" outlineLevel="0" collapsed="false">
      <c r="A1" s="2" t="s">
        <v>15</v>
      </c>
      <c r="B1" s="2"/>
      <c r="C1" s="2"/>
      <c r="D1" s="2"/>
      <c r="E1" s="2"/>
    </row>
    <row r="2" customFormat="false" ht="15" hidden="false" customHeight="true" outlineLevel="0" collapsed="false">
      <c r="A2" s="3" t="s">
        <v>91</v>
      </c>
      <c r="B2" s="3"/>
      <c r="C2" s="3"/>
      <c r="D2" s="3"/>
      <c r="E2" s="3"/>
    </row>
    <row r="3" customFormat="false" ht="23.25" hidden="false" customHeight="true" outlineLevel="0" collapsed="false">
      <c r="B3" s="15" t="s">
        <v>92</v>
      </c>
      <c r="C3" s="15" t="s">
        <v>93</v>
      </c>
      <c r="D3" s="15" t="s">
        <v>94</v>
      </c>
      <c r="E3" s="15" t="s">
        <v>95</v>
      </c>
      <c r="F3" s="15" t="s">
        <v>96</v>
      </c>
    </row>
    <row r="4" customFormat="false" ht="15" hidden="false" customHeight="true" outlineLevel="0" collapsed="false">
      <c r="B4" s="7" t="s">
        <v>97</v>
      </c>
      <c r="C4" s="8" t="s">
        <v>98</v>
      </c>
      <c r="D4" s="8" t="s">
        <v>99</v>
      </c>
      <c r="E4" s="18" t="n">
        <v>8000000</v>
      </c>
      <c r="F4" s="19" t="n">
        <f aca="false">E4/Assumptions!$C$5</f>
        <v>0.16</v>
      </c>
    </row>
    <row r="5" customFormat="false" ht="15" hidden="false" customHeight="true" outlineLevel="0" collapsed="false">
      <c r="B5" s="7" t="s">
        <v>100</v>
      </c>
      <c r="C5" s="8" t="s">
        <v>101</v>
      </c>
      <c r="D5" s="8" t="s">
        <v>102</v>
      </c>
      <c r="E5" s="18" t="n">
        <v>6000000</v>
      </c>
      <c r="F5" s="19" t="n">
        <f aca="false">E5/Assumptions!$C$5</f>
        <v>0.12</v>
      </c>
    </row>
    <row r="6" customFormat="false" ht="15" hidden="false" customHeight="true" outlineLevel="0" collapsed="false">
      <c r="B6" s="7" t="s">
        <v>103</v>
      </c>
      <c r="C6" s="8" t="s">
        <v>104</v>
      </c>
      <c r="D6" s="8" t="s">
        <v>105</v>
      </c>
      <c r="E6" s="18" t="n">
        <v>5500000</v>
      </c>
      <c r="F6" s="19" t="n">
        <f aca="false">E6/Assumptions!$C$5</f>
        <v>0.11</v>
      </c>
    </row>
    <row r="7" customFormat="false" ht="15" hidden="false" customHeight="true" outlineLevel="0" collapsed="false">
      <c r="B7" s="7" t="s">
        <v>106</v>
      </c>
      <c r="C7" s="8" t="s">
        <v>107</v>
      </c>
      <c r="D7" s="8" t="s">
        <v>108</v>
      </c>
      <c r="E7" s="18" t="n">
        <v>5000000</v>
      </c>
      <c r="F7" s="19" t="n">
        <f aca="false">E7/Assumptions!$C$5</f>
        <v>0.1</v>
      </c>
    </row>
    <row r="8" customFormat="false" ht="15" hidden="false" customHeight="true" outlineLevel="0" collapsed="false">
      <c r="B8" s="7" t="s">
        <v>109</v>
      </c>
      <c r="C8" s="8" t="s">
        <v>110</v>
      </c>
      <c r="D8" s="8" t="s">
        <v>111</v>
      </c>
      <c r="E8" s="18" t="n">
        <v>4000000</v>
      </c>
      <c r="F8" s="19" t="n">
        <f aca="false">E8/Assumptions!$C$5</f>
        <v>0.08</v>
      </c>
    </row>
    <row r="9" customFormat="false" ht="15" hidden="false" customHeight="true" outlineLevel="0" collapsed="false">
      <c r="B9" s="7" t="s">
        <v>112</v>
      </c>
      <c r="C9" s="8" t="s">
        <v>113</v>
      </c>
      <c r="D9" s="8" t="s">
        <v>114</v>
      </c>
      <c r="E9" s="18" t="n">
        <v>4000000</v>
      </c>
      <c r="F9" s="19" t="n">
        <f aca="false">E9/Assumptions!$C$5</f>
        <v>0.08</v>
      </c>
    </row>
    <row r="10" customFormat="false" ht="15" hidden="false" customHeight="true" outlineLevel="0" collapsed="false">
      <c r="B10" s="7" t="s">
        <v>115</v>
      </c>
      <c r="C10" s="8" t="s">
        <v>116</v>
      </c>
      <c r="D10" s="8" t="s">
        <v>102</v>
      </c>
      <c r="E10" s="18" t="n">
        <v>3000000</v>
      </c>
      <c r="F10" s="19" t="n">
        <f aca="false">E10/Assumptions!$C$5</f>
        <v>0.06</v>
      </c>
    </row>
    <row r="11" customFormat="false" ht="15" hidden="false" customHeight="true" outlineLevel="0" collapsed="false">
      <c r="B11" s="7" t="s">
        <v>117</v>
      </c>
      <c r="C11" s="8" t="s">
        <v>118</v>
      </c>
      <c r="D11" s="8" t="s">
        <v>105</v>
      </c>
      <c r="E11" s="18" t="n">
        <v>2500000</v>
      </c>
      <c r="F11" s="19" t="n">
        <f aca="false">E11/Assumptions!$C$5</f>
        <v>0.05</v>
      </c>
    </row>
    <row r="12" customFormat="false" ht="15" hidden="false" customHeight="true" outlineLevel="0" collapsed="false">
      <c r="B12" s="7" t="s">
        <v>119</v>
      </c>
      <c r="C12" s="8" t="s">
        <v>120</v>
      </c>
      <c r="D12" s="8" t="s">
        <v>111</v>
      </c>
      <c r="E12" s="18" t="n">
        <v>2000000</v>
      </c>
      <c r="F12" s="19" t="n">
        <f aca="false">E12/Assumptions!$C$5</f>
        <v>0.04</v>
      </c>
    </row>
    <row r="13" customFormat="false" ht="15" hidden="false" customHeight="true" outlineLevel="0" collapsed="false">
      <c r="B13" s="7" t="s">
        <v>121</v>
      </c>
      <c r="C13" s="8" t="s">
        <v>122</v>
      </c>
      <c r="D13" s="8" t="s">
        <v>123</v>
      </c>
      <c r="E13" s="18" t="n">
        <v>2000000</v>
      </c>
      <c r="F13" s="19" t="n">
        <f aca="false">E13/Assumptions!$C$5</f>
        <v>0.04</v>
      </c>
    </row>
    <row r="14" customFormat="false" ht="15" hidden="false" customHeight="true" outlineLevel="0" collapsed="false">
      <c r="B14" s="7" t="s">
        <v>124</v>
      </c>
      <c r="C14" s="8" t="s">
        <v>125</v>
      </c>
      <c r="D14" s="8" t="s">
        <v>99</v>
      </c>
      <c r="E14" s="18" t="n">
        <v>1800000</v>
      </c>
      <c r="F14" s="19" t="n">
        <f aca="false">E14/Assumptions!$C$5</f>
        <v>0.036</v>
      </c>
    </row>
    <row r="15" customFormat="false" ht="15" hidden="false" customHeight="true" outlineLevel="0" collapsed="false">
      <c r="B15" s="7" t="s">
        <v>126</v>
      </c>
      <c r="C15" s="8" t="s">
        <v>127</v>
      </c>
      <c r="D15" s="8" t="s">
        <v>108</v>
      </c>
      <c r="E15" s="18" t="n">
        <v>1500000</v>
      </c>
      <c r="F15" s="19" t="n">
        <f aca="false">E15/Assumptions!$C$5</f>
        <v>0.03</v>
      </c>
    </row>
    <row r="16" customFormat="false" ht="15" hidden="false" customHeight="true" outlineLevel="0" collapsed="false">
      <c r="B16" s="7" t="s">
        <v>128</v>
      </c>
      <c r="C16" s="8" t="s">
        <v>129</v>
      </c>
      <c r="D16" s="8" t="s">
        <v>111</v>
      </c>
      <c r="E16" s="18" t="n">
        <v>1500000</v>
      </c>
      <c r="F16" s="19" t="n">
        <f aca="false">E16/Assumptions!$C$5</f>
        <v>0.03</v>
      </c>
    </row>
    <row r="17" customFormat="false" ht="15" hidden="false" customHeight="true" outlineLevel="0" collapsed="false">
      <c r="B17" s="7" t="s">
        <v>130</v>
      </c>
      <c r="C17" s="8" t="s">
        <v>131</v>
      </c>
      <c r="D17" s="8" t="s">
        <v>111</v>
      </c>
      <c r="E17" s="18" t="n">
        <v>1600000</v>
      </c>
      <c r="F17" s="19" t="n">
        <f aca="false">E17/Assumptions!$C$5</f>
        <v>0.032</v>
      </c>
    </row>
    <row r="18" customFormat="false" ht="15" hidden="false" customHeight="true" outlineLevel="0" collapsed="false">
      <c r="B18" s="7" t="s">
        <v>132</v>
      </c>
      <c r="C18" s="8" t="s">
        <v>133</v>
      </c>
      <c r="D18" s="8" t="s">
        <v>123</v>
      </c>
      <c r="E18" s="18" t="n">
        <v>1600000</v>
      </c>
      <c r="F18" s="19" t="n">
        <f aca="false">E18/Assumptions!$C$5</f>
        <v>0.032</v>
      </c>
    </row>
    <row r="19" customFormat="false" ht="15" hidden="false" customHeight="true" outlineLevel="0" collapsed="false">
      <c r="C19" s="4" t="s">
        <v>134</v>
      </c>
      <c r="E19" s="20" t="n">
        <f aca="false">SUM(E4:E18)</f>
        <v>50000000</v>
      </c>
      <c r="F19" s="21" t="n">
        <f aca="false">SUM(F4:F18)</f>
        <v>1</v>
      </c>
    </row>
    <row r="20" customFormat="false" ht="15" hidden="false" customHeight="true" outlineLevel="0" collapsed="false">
      <c r="C20" s="7" t="str">
        <f aca="false">IF(E19=Assumptions!$C$5,"OK — ties to committed capital","ERROR — does not tie")</f>
        <v>OK — ties to committed capital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26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7" min="6" style="1" width="16"/>
    <col collapsed="false" customWidth="true" hidden="false" outlineLevel="0" max="8" min="8" style="1" width="14"/>
  </cols>
  <sheetData>
    <row r="1" customFormat="false" ht="21.75" hidden="false" customHeight="true" outlineLevel="0" collapsed="false">
      <c r="A1" s="2" t="s">
        <v>17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135</v>
      </c>
      <c r="B2" s="3"/>
      <c r="C2" s="3"/>
      <c r="D2" s="3"/>
      <c r="E2" s="3"/>
      <c r="F2" s="3"/>
      <c r="G2" s="3"/>
    </row>
    <row r="3" customFormat="false" ht="23.25" hidden="false" customHeight="true" outlineLevel="0" collapsed="false">
      <c r="B3" s="15" t="s">
        <v>136</v>
      </c>
      <c r="C3" s="15" t="s">
        <v>137</v>
      </c>
      <c r="D3" s="15" t="s">
        <v>138</v>
      </c>
      <c r="E3" s="15" t="s">
        <v>139</v>
      </c>
      <c r="F3" s="15" t="s">
        <v>140</v>
      </c>
      <c r="G3" s="15" t="s">
        <v>141</v>
      </c>
      <c r="H3" s="15" t="s">
        <v>142</v>
      </c>
    </row>
    <row r="4" customFormat="false" ht="15" hidden="false" customHeight="true" outlineLevel="0" collapsed="false">
      <c r="B4" s="7" t="s">
        <v>143</v>
      </c>
      <c r="C4" s="8" t="s">
        <v>144</v>
      </c>
      <c r="D4" s="8" t="s">
        <v>145</v>
      </c>
      <c r="E4" s="8" t="n">
        <v>1</v>
      </c>
      <c r="F4" s="7" t="str">
        <f aca="false">INDEX(Quarters!$E:$E,MATCH(E4,Quarters!$B:$B,0))</f>
        <v>Q1 2022</v>
      </c>
      <c r="G4" s="18" t="n">
        <v>6000000</v>
      </c>
      <c r="H4" s="7" t="s">
        <v>146</v>
      </c>
    </row>
    <row r="5" customFormat="false" ht="15" hidden="false" customHeight="true" outlineLevel="0" collapsed="false">
      <c r="B5" s="7" t="s">
        <v>147</v>
      </c>
      <c r="C5" s="8" t="s">
        <v>148</v>
      </c>
      <c r="D5" s="8" t="s">
        <v>149</v>
      </c>
      <c r="E5" s="8" t="n">
        <v>2</v>
      </c>
      <c r="F5" s="7" t="str">
        <f aca="false">INDEX(Quarters!$E:$E,MATCH(E5,Quarters!$B:$B,0))</f>
        <v>Q2 2022</v>
      </c>
      <c r="G5" s="18" t="n">
        <v>5500000</v>
      </c>
      <c r="H5" s="7" t="s">
        <v>150</v>
      </c>
    </row>
    <row r="6" customFormat="false" ht="15" hidden="false" customHeight="true" outlineLevel="0" collapsed="false">
      <c r="B6" s="7" t="s">
        <v>151</v>
      </c>
      <c r="C6" s="8" t="s">
        <v>152</v>
      </c>
      <c r="D6" s="8" t="s">
        <v>153</v>
      </c>
      <c r="E6" s="8" t="n">
        <v>3</v>
      </c>
      <c r="F6" s="7" t="str">
        <f aca="false">INDEX(Quarters!$E:$E,MATCH(E6,Quarters!$B:$B,0))</f>
        <v>Q3 2022</v>
      </c>
      <c r="G6" s="18" t="n">
        <v>4500000</v>
      </c>
      <c r="H6" s="7" t="s">
        <v>154</v>
      </c>
    </row>
    <row r="7" customFormat="false" ht="15" hidden="false" customHeight="true" outlineLevel="0" collapsed="false">
      <c r="B7" s="7" t="s">
        <v>155</v>
      </c>
      <c r="C7" s="8" t="s">
        <v>156</v>
      </c>
      <c r="D7" s="8" t="s">
        <v>157</v>
      </c>
      <c r="E7" s="8" t="n">
        <v>4</v>
      </c>
      <c r="F7" s="7" t="str">
        <f aca="false">INDEX(Quarters!$E:$E,MATCH(E7,Quarters!$B:$B,0))</f>
        <v>Q4 2022</v>
      </c>
      <c r="G7" s="18" t="n">
        <v>5000000</v>
      </c>
      <c r="H7" s="7" t="s">
        <v>158</v>
      </c>
    </row>
    <row r="8" customFormat="false" ht="15" hidden="false" customHeight="true" outlineLevel="0" collapsed="false">
      <c r="B8" s="7" t="s">
        <v>159</v>
      </c>
      <c r="C8" s="8" t="s">
        <v>160</v>
      </c>
      <c r="D8" s="8" t="s">
        <v>149</v>
      </c>
      <c r="E8" s="8" t="n">
        <v>5</v>
      </c>
      <c r="F8" s="7" t="str">
        <f aca="false">INDEX(Quarters!$E:$E,MATCH(E8,Quarters!$B:$B,0))</f>
        <v>Q1 2023</v>
      </c>
      <c r="G8" s="18" t="n">
        <v>4000000</v>
      </c>
      <c r="H8" s="7" t="s">
        <v>161</v>
      </c>
    </row>
    <row r="9" customFormat="false" ht="15" hidden="false" customHeight="true" outlineLevel="0" collapsed="false">
      <c r="B9" s="7" t="s">
        <v>162</v>
      </c>
      <c r="C9" s="8" t="s">
        <v>163</v>
      </c>
      <c r="D9" s="8" t="s">
        <v>164</v>
      </c>
      <c r="E9" s="8" t="n">
        <v>6</v>
      </c>
      <c r="F9" s="7" t="str">
        <f aca="false">INDEX(Quarters!$E:$E,MATCH(E9,Quarters!$B:$B,0))</f>
        <v>Q2 2023</v>
      </c>
      <c r="G9" s="18" t="n">
        <v>5000000</v>
      </c>
      <c r="H9" s="7" t="s">
        <v>146</v>
      </c>
    </row>
    <row r="10" customFormat="false" ht="15" hidden="false" customHeight="true" outlineLevel="0" collapsed="false">
      <c r="B10" s="7" t="s">
        <v>165</v>
      </c>
      <c r="C10" s="8" t="s">
        <v>166</v>
      </c>
      <c r="D10" s="8" t="s">
        <v>153</v>
      </c>
      <c r="E10" s="8" t="n">
        <v>7</v>
      </c>
      <c r="F10" s="7" t="str">
        <f aca="false">INDEX(Quarters!$E:$E,MATCH(E10,Quarters!$B:$B,0))</f>
        <v>Q3 2023</v>
      </c>
      <c r="G10" s="18" t="n">
        <v>4500000</v>
      </c>
      <c r="H10" s="7" t="s">
        <v>150</v>
      </c>
    </row>
    <row r="11" customFormat="false" ht="15" hidden="false" customHeight="true" outlineLevel="0" collapsed="false">
      <c r="B11" s="7" t="s">
        <v>167</v>
      </c>
      <c r="C11" s="8" t="s">
        <v>168</v>
      </c>
      <c r="D11" s="8" t="s">
        <v>169</v>
      </c>
      <c r="E11" s="8" t="n">
        <v>8</v>
      </c>
      <c r="F11" s="7" t="str">
        <f aca="false">INDEX(Quarters!$E:$E,MATCH(E11,Quarters!$B:$B,0))</f>
        <v>Q4 2023</v>
      </c>
      <c r="G11" s="18" t="n">
        <v>3500000</v>
      </c>
      <c r="H11" s="7" t="s">
        <v>161</v>
      </c>
    </row>
    <row r="12" customFormat="false" ht="15" hidden="false" customHeight="true" outlineLevel="0" collapsed="false">
      <c r="B12" s="7" t="s">
        <v>170</v>
      </c>
      <c r="C12" s="8" t="s">
        <v>171</v>
      </c>
      <c r="D12" s="8" t="s">
        <v>157</v>
      </c>
      <c r="E12" s="8" t="n">
        <v>9</v>
      </c>
      <c r="F12" s="7" t="str">
        <f aca="false">INDEX(Quarters!$E:$E,MATCH(E12,Quarters!$B:$B,0))</f>
        <v>Q1 2024</v>
      </c>
      <c r="G12" s="18" t="n">
        <v>4000000</v>
      </c>
      <c r="H12" s="7" t="s">
        <v>150</v>
      </c>
    </row>
    <row r="13" customFormat="false" ht="15" hidden="false" customHeight="true" outlineLevel="0" collapsed="false">
      <c r="B13" s="7" t="s">
        <v>172</v>
      </c>
      <c r="C13" s="8" t="s">
        <v>173</v>
      </c>
      <c r="D13" s="8" t="s">
        <v>149</v>
      </c>
      <c r="E13" s="8" t="n">
        <v>10</v>
      </c>
      <c r="F13" s="7" t="str">
        <f aca="false">INDEX(Quarters!$E:$E,MATCH(E13,Quarters!$B:$B,0))</f>
        <v>Q2 2024</v>
      </c>
      <c r="G13" s="18" t="n">
        <v>3500000</v>
      </c>
      <c r="H13" s="7" t="s">
        <v>150</v>
      </c>
    </row>
    <row r="14" customFormat="false" ht="15" hidden="false" customHeight="true" outlineLevel="0" collapsed="false">
      <c r="C14" s="4" t="s">
        <v>174</v>
      </c>
      <c r="G14" s="20" t="n">
        <f aca="false">SUM(G4:G13)</f>
        <v>45500000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22"/>
    <col collapsed="false" customWidth="true" hidden="false" outlineLevel="0" max="4" min="4" style="1" width="9"/>
    <col collapsed="false" customWidth="true" hidden="false" outlineLevel="0" max="5" min="5" style="1" width="20"/>
    <col collapsed="false" customWidth="true" hidden="false" outlineLevel="0" max="7" min="6" style="1" width="15"/>
    <col collapsed="false" customWidth="true" hidden="false" outlineLevel="0" max="8" min="8" style="1" width="14"/>
    <col collapsed="false" customWidth="true" hidden="false" outlineLevel="0" max="9" min="9" style="1" width="10"/>
    <col collapsed="false" customWidth="true" hidden="false" outlineLevel="0" max="10" min="10" style="1" width="15"/>
    <col collapsed="false" customWidth="true" hidden="false" outlineLevel="0" max="11" min="11" style="1" width="17"/>
    <col collapsed="false" customWidth="true" hidden="false" outlineLevel="0" max="12" min="12" style="1" width="15"/>
  </cols>
  <sheetData>
    <row r="1" customFormat="false" ht="21.75" hidden="false" customHeight="true" outlineLevel="0" collapsed="false">
      <c r="A1" s="2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20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23.25" hidden="false" customHeight="true" outlineLevel="0" collapsed="false">
      <c r="B3" s="15" t="s">
        <v>136</v>
      </c>
      <c r="C3" s="15" t="s">
        <v>137</v>
      </c>
      <c r="D3" s="15" t="s">
        <v>175</v>
      </c>
      <c r="E3" s="15" t="s">
        <v>69</v>
      </c>
      <c r="F3" s="15" t="s">
        <v>176</v>
      </c>
      <c r="G3" s="15" t="s">
        <v>177</v>
      </c>
      <c r="H3" s="15" t="s">
        <v>178</v>
      </c>
      <c r="I3" s="15" t="s">
        <v>179</v>
      </c>
      <c r="J3" s="15" t="s">
        <v>180</v>
      </c>
      <c r="K3" s="15" t="s">
        <v>181</v>
      </c>
      <c r="L3" s="15" t="s">
        <v>182</v>
      </c>
    </row>
    <row r="4" customFormat="false" ht="15" hidden="false" customHeight="true" outlineLevel="0" collapsed="false">
      <c r="B4" s="7" t="s">
        <v>143</v>
      </c>
      <c r="C4" s="7" t="s">
        <v>144</v>
      </c>
      <c r="D4" s="7" t="n">
        <v>1</v>
      </c>
      <c r="E4" s="7" t="str">
        <f aca="false">INDEX(Quarters!$E:$E,MATCH(D4,Quarters!$B:$B,0))</f>
        <v>Q1 2022</v>
      </c>
      <c r="F4" s="18" t="n">
        <v>6000000</v>
      </c>
      <c r="G4" s="18" t="n">
        <v>6000000</v>
      </c>
      <c r="J4" s="22" t="n">
        <v>0</v>
      </c>
      <c r="K4" s="22" t="n">
        <v>0</v>
      </c>
      <c r="L4" s="22" t="n">
        <f aca="false">J4-K4</f>
        <v>0</v>
      </c>
    </row>
    <row r="5" customFormat="false" ht="15" hidden="false" customHeight="true" outlineLevel="0" collapsed="false">
      <c r="B5" s="7" t="s">
        <v>143</v>
      </c>
      <c r="C5" s="7" t="s">
        <v>144</v>
      </c>
      <c r="D5" s="7" t="n">
        <v>2</v>
      </c>
      <c r="E5" s="7" t="str">
        <f aca="false">INDEX(Quarters!$E:$E,MATCH(D5,Quarters!$B:$B,0))</f>
        <v>Q2 2022</v>
      </c>
      <c r="F5" s="18" t="n">
        <v>6000000</v>
      </c>
      <c r="G5" s="18" t="n">
        <v>6657424.54</v>
      </c>
      <c r="J5" s="22" t="n">
        <v>0</v>
      </c>
      <c r="K5" s="22" t="n">
        <v>0</v>
      </c>
      <c r="L5" s="22" t="n">
        <f aca="false">J5-K5</f>
        <v>0</v>
      </c>
    </row>
    <row r="6" customFormat="false" ht="15" hidden="false" customHeight="true" outlineLevel="0" collapsed="false">
      <c r="B6" s="7" t="s">
        <v>143</v>
      </c>
      <c r="C6" s="7" t="s">
        <v>144</v>
      </c>
      <c r="D6" s="7" t="n">
        <v>3</v>
      </c>
      <c r="E6" s="7" t="str">
        <f aca="false">INDEX(Quarters!$E:$E,MATCH(D6,Quarters!$B:$B,0))</f>
        <v>Q3 2022</v>
      </c>
      <c r="F6" s="18" t="n">
        <v>6000000</v>
      </c>
      <c r="G6" s="18" t="n">
        <v>7252599.88</v>
      </c>
      <c r="J6" s="22" t="n">
        <v>0</v>
      </c>
      <c r="K6" s="22" t="n">
        <v>0</v>
      </c>
      <c r="L6" s="22" t="n">
        <f aca="false">J6-K6</f>
        <v>0</v>
      </c>
    </row>
    <row r="7" customFormat="false" ht="15" hidden="false" customHeight="true" outlineLevel="0" collapsed="false">
      <c r="B7" s="7" t="s">
        <v>143</v>
      </c>
      <c r="C7" s="7" t="s">
        <v>144</v>
      </c>
      <c r="D7" s="7" t="n">
        <v>4</v>
      </c>
      <c r="E7" s="7" t="str">
        <f aca="false">INDEX(Quarters!$E:$E,MATCH(D7,Quarters!$B:$B,0))</f>
        <v>Q4 2022</v>
      </c>
      <c r="F7" s="18" t="n">
        <v>6000000</v>
      </c>
      <c r="G7" s="18" t="n">
        <v>8095763.7</v>
      </c>
      <c r="J7" s="22" t="n">
        <v>0</v>
      </c>
      <c r="K7" s="22" t="n">
        <v>0</v>
      </c>
      <c r="L7" s="22" t="n">
        <f aca="false">J7-K7</f>
        <v>0</v>
      </c>
    </row>
    <row r="8" customFormat="false" ht="15" hidden="false" customHeight="true" outlineLevel="0" collapsed="false">
      <c r="B8" s="7" t="s">
        <v>143</v>
      </c>
      <c r="C8" s="7" t="s">
        <v>144</v>
      </c>
      <c r="D8" s="7" t="n">
        <v>5</v>
      </c>
      <c r="E8" s="7" t="str">
        <f aca="false">INDEX(Quarters!$E:$E,MATCH(D8,Quarters!$B:$B,0))</f>
        <v>Q1 2023</v>
      </c>
      <c r="F8" s="18" t="n">
        <v>6000000</v>
      </c>
      <c r="G8" s="18" t="n">
        <v>9060037.73</v>
      </c>
      <c r="J8" s="22" t="n">
        <v>0</v>
      </c>
      <c r="K8" s="22" t="n">
        <v>0</v>
      </c>
      <c r="L8" s="22" t="n">
        <f aca="false">J8-K8</f>
        <v>0</v>
      </c>
    </row>
    <row r="9" customFormat="false" ht="15" hidden="false" customHeight="true" outlineLevel="0" collapsed="false">
      <c r="B9" s="7" t="s">
        <v>143</v>
      </c>
      <c r="C9" s="7" t="s">
        <v>144</v>
      </c>
      <c r="D9" s="7" t="n">
        <v>6</v>
      </c>
      <c r="E9" s="7" t="str">
        <f aca="false">INDEX(Quarters!$E:$E,MATCH(D9,Quarters!$B:$B,0))</f>
        <v>Q2 2023</v>
      </c>
      <c r="F9" s="18" t="n">
        <v>6000000</v>
      </c>
      <c r="G9" s="18" t="n">
        <v>9746194.91</v>
      </c>
      <c r="J9" s="22" t="n">
        <v>0</v>
      </c>
      <c r="K9" s="22" t="n">
        <v>0</v>
      </c>
      <c r="L9" s="22" t="n">
        <f aca="false">J9-K9</f>
        <v>0</v>
      </c>
    </row>
    <row r="10" customFormat="false" ht="15" hidden="false" customHeight="true" outlineLevel="0" collapsed="false">
      <c r="B10" s="7" t="s">
        <v>143</v>
      </c>
      <c r="C10" s="7" t="s">
        <v>144</v>
      </c>
      <c r="D10" s="7" t="n">
        <v>7</v>
      </c>
      <c r="E10" s="7" t="str">
        <f aca="false">INDEX(Quarters!$E:$E,MATCH(D10,Quarters!$B:$B,0))</f>
        <v>Q3 2023</v>
      </c>
      <c r="F10" s="18" t="n">
        <v>6000000</v>
      </c>
      <c r="G10" s="18" t="n">
        <v>10579175.94</v>
      </c>
      <c r="J10" s="22" t="n">
        <v>0</v>
      </c>
      <c r="K10" s="22" t="n">
        <v>0</v>
      </c>
      <c r="L10" s="22" t="n">
        <f aca="false">J10-K10</f>
        <v>0</v>
      </c>
    </row>
    <row r="11" customFormat="false" ht="15" hidden="false" customHeight="true" outlineLevel="0" collapsed="false">
      <c r="B11" s="7" t="s">
        <v>143</v>
      </c>
      <c r="C11" s="7" t="s">
        <v>144</v>
      </c>
      <c r="D11" s="7" t="n">
        <v>8</v>
      </c>
      <c r="E11" s="7" t="str">
        <f aca="false">INDEX(Quarters!$E:$E,MATCH(D11,Quarters!$B:$B,0))</f>
        <v>Q4 2023</v>
      </c>
      <c r="F11" s="18" t="n">
        <v>6000000</v>
      </c>
      <c r="G11" s="18" t="n">
        <v>11710276.11</v>
      </c>
      <c r="J11" s="22" t="n">
        <v>0</v>
      </c>
      <c r="K11" s="22" t="n">
        <v>0</v>
      </c>
      <c r="L11" s="22" t="n">
        <f aca="false">J11-K11</f>
        <v>0</v>
      </c>
    </row>
    <row r="12" customFormat="false" ht="15" hidden="false" customHeight="true" outlineLevel="0" collapsed="false">
      <c r="B12" s="7" t="s">
        <v>143</v>
      </c>
      <c r="C12" s="7" t="s">
        <v>144</v>
      </c>
      <c r="D12" s="7" t="n">
        <v>9</v>
      </c>
      <c r="E12" s="7" t="str">
        <f aca="false">INDEX(Quarters!$E:$E,MATCH(D12,Quarters!$B:$B,0))</f>
        <v>Q1 2024</v>
      </c>
      <c r="F12" s="18" t="n">
        <v>6000000</v>
      </c>
      <c r="G12" s="18" t="n">
        <v>12884305.78</v>
      </c>
      <c r="J12" s="22" t="n">
        <v>0</v>
      </c>
      <c r="K12" s="22" t="n">
        <v>0</v>
      </c>
      <c r="L12" s="22" t="n">
        <f aca="false">J12-K12</f>
        <v>0</v>
      </c>
    </row>
    <row r="13" customFormat="false" ht="15" hidden="false" customHeight="true" outlineLevel="0" collapsed="false">
      <c r="B13" s="7" t="s">
        <v>143</v>
      </c>
      <c r="C13" s="7" t="s">
        <v>144</v>
      </c>
      <c r="D13" s="7" t="n">
        <v>10</v>
      </c>
      <c r="E13" s="7" t="str">
        <f aca="false">INDEX(Quarters!$E:$E,MATCH(D13,Quarters!$B:$B,0))</f>
        <v>Q2 2024</v>
      </c>
      <c r="F13" s="18" t="n">
        <v>6000000</v>
      </c>
      <c r="G13" s="18" t="n">
        <v>14233910.82</v>
      </c>
      <c r="J13" s="22" t="n">
        <v>0</v>
      </c>
      <c r="K13" s="22" t="n">
        <v>0</v>
      </c>
      <c r="L13" s="22" t="n">
        <f aca="false">J13-K13</f>
        <v>0</v>
      </c>
    </row>
    <row r="14" customFormat="false" ht="15" hidden="false" customHeight="true" outlineLevel="0" collapsed="false">
      <c r="B14" s="7" t="s">
        <v>143</v>
      </c>
      <c r="C14" s="7" t="s">
        <v>144</v>
      </c>
      <c r="D14" s="7" t="n">
        <v>11</v>
      </c>
      <c r="E14" s="7" t="str">
        <f aca="false">INDEX(Quarters!$E:$E,MATCH(D14,Quarters!$B:$B,0))</f>
        <v>Q3 2024</v>
      </c>
      <c r="F14" s="18" t="n">
        <v>6000000</v>
      </c>
      <c r="G14" s="18" t="n">
        <v>15546339.19</v>
      </c>
      <c r="J14" s="22" t="n">
        <v>0</v>
      </c>
      <c r="K14" s="22" t="n">
        <v>0</v>
      </c>
      <c r="L14" s="22" t="n">
        <f aca="false">J14-K14</f>
        <v>0</v>
      </c>
    </row>
    <row r="15" customFormat="false" ht="15" hidden="false" customHeight="true" outlineLevel="0" collapsed="false">
      <c r="B15" s="7" t="s">
        <v>143</v>
      </c>
      <c r="C15" s="7" t="s">
        <v>144</v>
      </c>
      <c r="D15" s="7" t="n">
        <v>12</v>
      </c>
      <c r="E15" s="7" t="str">
        <f aca="false">INDEX(Quarters!$E:$E,MATCH(D15,Quarters!$B:$B,0))</f>
        <v>Q4 2024</v>
      </c>
      <c r="F15" s="18" t="n">
        <v>6000000</v>
      </c>
      <c r="G15" s="18" t="n">
        <v>17383776.09</v>
      </c>
      <c r="J15" s="22" t="n">
        <v>0</v>
      </c>
      <c r="K15" s="22" t="n">
        <v>0</v>
      </c>
      <c r="L15" s="22" t="n">
        <f aca="false">J15-K15</f>
        <v>0</v>
      </c>
    </row>
    <row r="16" customFormat="false" ht="15" hidden="false" customHeight="true" outlineLevel="0" collapsed="false">
      <c r="B16" s="7" t="s">
        <v>143</v>
      </c>
      <c r="C16" s="7" t="s">
        <v>144</v>
      </c>
      <c r="D16" s="7" t="n">
        <v>13</v>
      </c>
      <c r="E16" s="7" t="str">
        <f aca="false">INDEX(Quarters!$E:$E,MATCH(D16,Quarters!$B:$B,0))</f>
        <v>Q1 2025</v>
      </c>
      <c r="F16" s="18" t="n">
        <v>6000000</v>
      </c>
      <c r="G16" s="18" t="n">
        <v>19411886.99</v>
      </c>
      <c r="H16" s="8" t="s">
        <v>183</v>
      </c>
      <c r="I16" s="23" t="n">
        <v>1</v>
      </c>
      <c r="J16" s="18" t="n">
        <v>19411886.99</v>
      </c>
      <c r="K16" s="18" t="n">
        <v>6000000</v>
      </c>
      <c r="L16" s="22" t="n">
        <f aca="false">J16-K16</f>
        <v>13411886.99</v>
      </c>
    </row>
    <row r="17" customFormat="false" ht="15" hidden="false" customHeight="true" outlineLevel="0" collapsed="false">
      <c r="B17" s="7" t="s">
        <v>147</v>
      </c>
      <c r="C17" s="7" t="s">
        <v>148</v>
      </c>
      <c r="D17" s="7" t="n">
        <v>2</v>
      </c>
      <c r="E17" s="7" t="str">
        <f aca="false">INDEX(Quarters!$E:$E,MATCH(D17,Quarters!$B:$B,0))</f>
        <v>Q2 2022</v>
      </c>
      <c r="F17" s="18" t="n">
        <v>5500000</v>
      </c>
      <c r="G17" s="18" t="n">
        <v>5500000</v>
      </c>
      <c r="J17" s="22" t="n">
        <v>0</v>
      </c>
      <c r="K17" s="22" t="n">
        <v>0</v>
      </c>
      <c r="L17" s="22" t="n">
        <f aca="false">J17-K17</f>
        <v>0</v>
      </c>
    </row>
    <row r="18" customFormat="false" ht="15" hidden="false" customHeight="true" outlineLevel="0" collapsed="false">
      <c r="B18" s="7" t="s">
        <v>147</v>
      </c>
      <c r="C18" s="7" t="s">
        <v>148</v>
      </c>
      <c r="D18" s="7" t="n">
        <v>3</v>
      </c>
      <c r="E18" s="7" t="str">
        <f aca="false">INDEX(Quarters!$E:$E,MATCH(D18,Quarters!$B:$B,0))</f>
        <v>Q3 2022</v>
      </c>
      <c r="F18" s="18" t="n">
        <v>5500000</v>
      </c>
      <c r="G18" s="18" t="n">
        <v>5801358.03</v>
      </c>
      <c r="J18" s="22" t="n">
        <v>0</v>
      </c>
      <c r="K18" s="22" t="n">
        <v>0</v>
      </c>
      <c r="L18" s="22" t="n">
        <f aca="false">J18-K18</f>
        <v>0</v>
      </c>
    </row>
    <row r="19" customFormat="false" ht="15" hidden="false" customHeight="true" outlineLevel="0" collapsed="false">
      <c r="B19" s="7" t="s">
        <v>147</v>
      </c>
      <c r="C19" s="7" t="s">
        <v>148</v>
      </c>
      <c r="D19" s="7" t="n">
        <v>4</v>
      </c>
      <c r="E19" s="7" t="str">
        <f aca="false">INDEX(Quarters!$E:$E,MATCH(D19,Quarters!$B:$B,0))</f>
        <v>Q4 2022</v>
      </c>
      <c r="F19" s="18" t="n">
        <v>5500000</v>
      </c>
      <c r="G19" s="18" t="n">
        <v>6193105.72</v>
      </c>
      <c r="J19" s="22" t="n">
        <v>0</v>
      </c>
      <c r="K19" s="22" t="n">
        <v>0</v>
      </c>
      <c r="L19" s="22" t="n">
        <f aca="false">J19-K19</f>
        <v>0</v>
      </c>
    </row>
    <row r="20" customFormat="false" ht="15" hidden="false" customHeight="true" outlineLevel="0" collapsed="false">
      <c r="B20" s="7" t="s">
        <v>147</v>
      </c>
      <c r="C20" s="7" t="s">
        <v>148</v>
      </c>
      <c r="D20" s="7" t="n">
        <v>5</v>
      </c>
      <c r="E20" s="7" t="str">
        <f aca="false">INDEX(Quarters!$E:$E,MATCH(D20,Quarters!$B:$B,0))</f>
        <v>Q1 2023</v>
      </c>
      <c r="F20" s="18" t="n">
        <v>5500000</v>
      </c>
      <c r="G20" s="18" t="n">
        <v>6562277.44</v>
      </c>
      <c r="J20" s="22" t="n">
        <v>0</v>
      </c>
      <c r="K20" s="22" t="n">
        <v>0</v>
      </c>
      <c r="L20" s="22" t="n">
        <f aca="false">J20-K20</f>
        <v>0</v>
      </c>
    </row>
    <row r="21" customFormat="false" ht="15" hidden="false" customHeight="true" outlineLevel="0" collapsed="false">
      <c r="B21" s="7" t="s">
        <v>147</v>
      </c>
      <c r="C21" s="7" t="s">
        <v>148</v>
      </c>
      <c r="D21" s="7" t="n">
        <v>6</v>
      </c>
      <c r="E21" s="7" t="str">
        <f aca="false">INDEX(Quarters!$E:$E,MATCH(D21,Quarters!$B:$B,0))</f>
        <v>Q2 2023</v>
      </c>
      <c r="F21" s="18" t="n">
        <v>5500000</v>
      </c>
      <c r="G21" s="18" t="n">
        <v>6848973.44</v>
      </c>
      <c r="J21" s="22" t="n">
        <v>0</v>
      </c>
      <c r="K21" s="22" t="n">
        <v>0</v>
      </c>
      <c r="L21" s="22" t="n">
        <f aca="false">J21-K21</f>
        <v>0</v>
      </c>
    </row>
    <row r="22" customFormat="false" ht="15" hidden="false" customHeight="true" outlineLevel="0" collapsed="false">
      <c r="B22" s="7" t="s">
        <v>147</v>
      </c>
      <c r="C22" s="7" t="s">
        <v>148</v>
      </c>
      <c r="D22" s="7" t="n">
        <v>7</v>
      </c>
      <c r="E22" s="7" t="str">
        <f aca="false">INDEX(Quarters!$E:$E,MATCH(D22,Quarters!$B:$B,0))</f>
        <v>Q3 2023</v>
      </c>
      <c r="F22" s="18" t="n">
        <v>5500000</v>
      </c>
      <c r="G22" s="18" t="n">
        <v>7249124.78</v>
      </c>
      <c r="J22" s="22" t="n">
        <v>0</v>
      </c>
      <c r="K22" s="22" t="n">
        <v>0</v>
      </c>
      <c r="L22" s="22" t="n">
        <f aca="false">J22-K22</f>
        <v>0</v>
      </c>
    </row>
    <row r="23" customFormat="false" ht="15" hidden="false" customHeight="true" outlineLevel="0" collapsed="false">
      <c r="B23" s="7" t="s">
        <v>147</v>
      </c>
      <c r="C23" s="7" t="s">
        <v>148</v>
      </c>
      <c r="D23" s="7" t="n">
        <v>8</v>
      </c>
      <c r="E23" s="7" t="str">
        <f aca="false">INDEX(Quarters!$E:$E,MATCH(D23,Quarters!$B:$B,0))</f>
        <v>Q4 2023</v>
      </c>
      <c r="F23" s="18" t="n">
        <v>5500000</v>
      </c>
      <c r="G23" s="18" t="n">
        <v>7557164.8</v>
      </c>
      <c r="J23" s="22" t="n">
        <v>0</v>
      </c>
      <c r="K23" s="22" t="n">
        <v>0</v>
      </c>
      <c r="L23" s="22" t="n">
        <f aca="false">J23-K23</f>
        <v>0</v>
      </c>
    </row>
    <row r="24" customFormat="false" ht="15" hidden="false" customHeight="true" outlineLevel="0" collapsed="false">
      <c r="B24" s="7" t="s">
        <v>147</v>
      </c>
      <c r="C24" s="7" t="s">
        <v>148</v>
      </c>
      <c r="D24" s="7" t="n">
        <v>9</v>
      </c>
      <c r="E24" s="7" t="str">
        <f aca="false">INDEX(Quarters!$E:$E,MATCH(D24,Quarters!$B:$B,0))</f>
        <v>Q1 2024</v>
      </c>
      <c r="F24" s="18" t="n">
        <v>5500000</v>
      </c>
      <c r="G24" s="18" t="n">
        <v>8044914.82</v>
      </c>
      <c r="J24" s="22" t="n">
        <v>0</v>
      </c>
      <c r="K24" s="22" t="n">
        <v>0</v>
      </c>
      <c r="L24" s="22" t="n">
        <f aca="false">J24-K24</f>
        <v>0</v>
      </c>
    </row>
    <row r="25" customFormat="false" ht="15" hidden="false" customHeight="true" outlineLevel="0" collapsed="false">
      <c r="B25" s="7" t="s">
        <v>147</v>
      </c>
      <c r="C25" s="7" t="s">
        <v>148</v>
      </c>
      <c r="D25" s="7" t="n">
        <v>10</v>
      </c>
      <c r="E25" s="7" t="str">
        <f aca="false">INDEX(Quarters!$E:$E,MATCH(D25,Quarters!$B:$B,0))</f>
        <v>Q2 2024</v>
      </c>
      <c r="F25" s="18" t="n">
        <v>5500000</v>
      </c>
      <c r="G25" s="18" t="n">
        <v>8474520.43</v>
      </c>
      <c r="J25" s="22" t="n">
        <v>0</v>
      </c>
      <c r="K25" s="22" t="n">
        <v>0</v>
      </c>
      <c r="L25" s="22" t="n">
        <f aca="false">J25-K25</f>
        <v>0</v>
      </c>
    </row>
    <row r="26" customFormat="false" ht="15" hidden="false" customHeight="true" outlineLevel="0" collapsed="false">
      <c r="B26" s="7" t="s">
        <v>147</v>
      </c>
      <c r="C26" s="7" t="s">
        <v>148</v>
      </c>
      <c r="D26" s="7" t="n">
        <v>11</v>
      </c>
      <c r="E26" s="7" t="str">
        <f aca="false">INDEX(Quarters!$E:$E,MATCH(D26,Quarters!$B:$B,0))</f>
        <v>Q3 2024</v>
      </c>
      <c r="F26" s="18" t="n">
        <v>5500000</v>
      </c>
      <c r="G26" s="18" t="n">
        <v>8913345.09</v>
      </c>
      <c r="J26" s="22" t="n">
        <v>0</v>
      </c>
      <c r="K26" s="22" t="n">
        <v>0</v>
      </c>
      <c r="L26" s="22" t="n">
        <f aca="false">J26-K26</f>
        <v>0</v>
      </c>
    </row>
    <row r="27" customFormat="false" ht="15" hidden="false" customHeight="true" outlineLevel="0" collapsed="false">
      <c r="B27" s="7" t="s">
        <v>147</v>
      </c>
      <c r="C27" s="7" t="s">
        <v>148</v>
      </c>
      <c r="D27" s="7" t="n">
        <v>12</v>
      </c>
      <c r="E27" s="7" t="str">
        <f aca="false">INDEX(Quarters!$E:$E,MATCH(D27,Quarters!$B:$B,0))</f>
        <v>Q4 2024</v>
      </c>
      <c r="F27" s="18" t="n">
        <v>5500000</v>
      </c>
      <c r="G27" s="18" t="n">
        <v>9321833.41</v>
      </c>
      <c r="J27" s="22" t="n">
        <v>0</v>
      </c>
      <c r="K27" s="22" t="n">
        <v>0</v>
      </c>
      <c r="L27" s="22" t="n">
        <f aca="false">J27-K27</f>
        <v>0</v>
      </c>
    </row>
    <row r="28" customFormat="false" ht="15" hidden="false" customHeight="true" outlineLevel="0" collapsed="false">
      <c r="B28" s="7" t="s">
        <v>147</v>
      </c>
      <c r="C28" s="7" t="s">
        <v>148</v>
      </c>
      <c r="D28" s="7" t="n">
        <v>13</v>
      </c>
      <c r="E28" s="7" t="str">
        <f aca="false">INDEX(Quarters!$E:$E,MATCH(D28,Quarters!$B:$B,0))</f>
        <v>Q1 2025</v>
      </c>
      <c r="F28" s="18" t="n">
        <v>5500000</v>
      </c>
      <c r="G28" s="18" t="n">
        <v>9961968.33</v>
      </c>
      <c r="J28" s="22" t="n">
        <v>0</v>
      </c>
      <c r="K28" s="22" t="n">
        <v>0</v>
      </c>
      <c r="L28" s="22" t="n">
        <f aca="false">J28-K28</f>
        <v>0</v>
      </c>
    </row>
    <row r="29" customFormat="false" ht="15" hidden="false" customHeight="true" outlineLevel="0" collapsed="false">
      <c r="B29" s="7" t="s">
        <v>147</v>
      </c>
      <c r="C29" s="7" t="s">
        <v>148</v>
      </c>
      <c r="D29" s="7" t="n">
        <v>14</v>
      </c>
      <c r="E29" s="7" t="str">
        <f aca="false">INDEX(Quarters!$E:$E,MATCH(D29,Quarters!$B:$B,0))</f>
        <v>Q2 2025</v>
      </c>
      <c r="F29" s="18" t="n">
        <v>5500000</v>
      </c>
      <c r="G29" s="18" t="n">
        <v>10481441.61</v>
      </c>
      <c r="J29" s="22" t="n">
        <v>0</v>
      </c>
      <c r="K29" s="22" t="n">
        <v>0</v>
      </c>
      <c r="L29" s="22" t="n">
        <f aca="false">J29-K29</f>
        <v>0</v>
      </c>
    </row>
    <row r="30" customFormat="false" ht="15" hidden="false" customHeight="true" outlineLevel="0" collapsed="false">
      <c r="B30" s="7" t="s">
        <v>147</v>
      </c>
      <c r="C30" s="7" t="s">
        <v>148</v>
      </c>
      <c r="D30" s="7" t="n">
        <v>15</v>
      </c>
      <c r="E30" s="7" t="str">
        <f aca="false">INDEX(Quarters!$E:$E,MATCH(D30,Quarters!$B:$B,0))</f>
        <v>Q3 2025</v>
      </c>
      <c r="F30" s="18" t="n">
        <v>5500000</v>
      </c>
      <c r="G30" s="18" t="n">
        <v>10993565.54</v>
      </c>
      <c r="H30" s="8" t="s">
        <v>183</v>
      </c>
      <c r="I30" s="23" t="n">
        <v>1</v>
      </c>
      <c r="J30" s="18" t="n">
        <v>10993565.54</v>
      </c>
      <c r="K30" s="18" t="n">
        <v>5500000</v>
      </c>
      <c r="L30" s="22" t="n">
        <f aca="false">J30-K30</f>
        <v>5493565.54</v>
      </c>
    </row>
    <row r="31" customFormat="false" ht="15" hidden="false" customHeight="true" outlineLevel="0" collapsed="false">
      <c r="B31" s="7" t="s">
        <v>151</v>
      </c>
      <c r="C31" s="7" t="s">
        <v>152</v>
      </c>
      <c r="D31" s="7" t="n">
        <v>3</v>
      </c>
      <c r="E31" s="7" t="str">
        <f aca="false">INDEX(Quarters!$E:$E,MATCH(D31,Quarters!$B:$B,0))</f>
        <v>Q3 2022</v>
      </c>
      <c r="F31" s="18" t="n">
        <v>4500000</v>
      </c>
      <c r="G31" s="18" t="n">
        <v>4500000</v>
      </c>
      <c r="J31" s="22" t="n">
        <v>0</v>
      </c>
      <c r="K31" s="22" t="n">
        <v>0</v>
      </c>
      <c r="L31" s="22" t="n">
        <f aca="false">J31-K31</f>
        <v>0</v>
      </c>
    </row>
    <row r="32" customFormat="false" ht="15" hidden="false" customHeight="true" outlineLevel="0" collapsed="false">
      <c r="B32" s="7" t="s">
        <v>151</v>
      </c>
      <c r="C32" s="7" t="s">
        <v>152</v>
      </c>
      <c r="D32" s="7" t="n">
        <v>4</v>
      </c>
      <c r="E32" s="7" t="str">
        <f aca="false">INDEX(Quarters!$E:$E,MATCH(D32,Quarters!$B:$B,0))</f>
        <v>Q4 2022</v>
      </c>
      <c r="F32" s="18" t="n">
        <v>4500000</v>
      </c>
      <c r="G32" s="18" t="n">
        <v>4273730.99</v>
      </c>
      <c r="J32" s="22" t="n">
        <v>0</v>
      </c>
      <c r="K32" s="22" t="n">
        <v>0</v>
      </c>
      <c r="L32" s="22" t="n">
        <f aca="false">J32-K32</f>
        <v>0</v>
      </c>
    </row>
    <row r="33" customFormat="false" ht="15" hidden="false" customHeight="true" outlineLevel="0" collapsed="false">
      <c r="B33" s="7" t="s">
        <v>151</v>
      </c>
      <c r="C33" s="7" t="s">
        <v>152</v>
      </c>
      <c r="D33" s="7" t="n">
        <v>5</v>
      </c>
      <c r="E33" s="7" t="str">
        <f aca="false">INDEX(Quarters!$E:$E,MATCH(D33,Quarters!$B:$B,0))</f>
        <v>Q1 2023</v>
      </c>
      <c r="F33" s="18" t="n">
        <v>4500000</v>
      </c>
      <c r="G33" s="18" t="n">
        <v>4115537.28</v>
      </c>
      <c r="J33" s="22" t="n">
        <v>0</v>
      </c>
      <c r="K33" s="22" t="n">
        <v>0</v>
      </c>
      <c r="L33" s="22" t="n">
        <f aca="false">J33-K33</f>
        <v>0</v>
      </c>
    </row>
    <row r="34" customFormat="false" ht="15" hidden="false" customHeight="true" outlineLevel="0" collapsed="false">
      <c r="B34" s="7" t="s">
        <v>151</v>
      </c>
      <c r="C34" s="7" t="s">
        <v>152</v>
      </c>
      <c r="D34" s="7" t="n">
        <v>6</v>
      </c>
      <c r="E34" s="7" t="str">
        <f aca="false">INDEX(Quarters!$E:$E,MATCH(D34,Quarters!$B:$B,0))</f>
        <v>Q2 2023</v>
      </c>
      <c r="F34" s="18" t="n">
        <v>4500000</v>
      </c>
      <c r="G34" s="18" t="n">
        <v>3952898.09</v>
      </c>
      <c r="J34" s="22" t="n">
        <v>0</v>
      </c>
      <c r="K34" s="22" t="n">
        <v>0</v>
      </c>
      <c r="L34" s="22" t="n">
        <f aca="false">J34-K34</f>
        <v>0</v>
      </c>
    </row>
    <row r="35" customFormat="false" ht="15" hidden="false" customHeight="true" outlineLevel="0" collapsed="false">
      <c r="B35" s="7" t="s">
        <v>151</v>
      </c>
      <c r="C35" s="7" t="s">
        <v>152</v>
      </c>
      <c r="D35" s="7" t="n">
        <v>7</v>
      </c>
      <c r="E35" s="7" t="str">
        <f aca="false">INDEX(Quarters!$E:$E,MATCH(D35,Quarters!$B:$B,0))</f>
        <v>Q3 2023</v>
      </c>
      <c r="F35" s="18" t="n">
        <v>4500000</v>
      </c>
      <c r="G35" s="18" t="n">
        <v>3799490.02</v>
      </c>
      <c r="J35" s="22" t="n">
        <v>0</v>
      </c>
      <c r="K35" s="22" t="n">
        <v>0</v>
      </c>
      <c r="L35" s="22" t="n">
        <f aca="false">J35-K35</f>
        <v>0</v>
      </c>
    </row>
    <row r="36" customFormat="false" ht="15" hidden="false" customHeight="true" outlineLevel="0" collapsed="false">
      <c r="B36" s="7" t="s">
        <v>151</v>
      </c>
      <c r="C36" s="7" t="s">
        <v>152</v>
      </c>
      <c r="D36" s="7" t="n">
        <v>8</v>
      </c>
      <c r="E36" s="7" t="str">
        <f aca="false">INDEX(Quarters!$E:$E,MATCH(D36,Quarters!$B:$B,0))</f>
        <v>Q4 2023</v>
      </c>
      <c r="F36" s="18" t="n">
        <v>4500000</v>
      </c>
      <c r="G36" s="18" t="n">
        <v>3653066.47</v>
      </c>
      <c r="J36" s="22" t="n">
        <v>0</v>
      </c>
      <c r="K36" s="22" t="n">
        <v>0</v>
      </c>
      <c r="L36" s="22" t="n">
        <f aca="false">J36-K36</f>
        <v>0</v>
      </c>
    </row>
    <row r="37" customFormat="false" ht="15" hidden="false" customHeight="true" outlineLevel="0" collapsed="false">
      <c r="B37" s="7" t="s">
        <v>151</v>
      </c>
      <c r="C37" s="7" t="s">
        <v>152</v>
      </c>
      <c r="D37" s="7" t="n">
        <v>9</v>
      </c>
      <c r="E37" s="7" t="str">
        <f aca="false">INDEX(Quarters!$E:$E,MATCH(D37,Quarters!$B:$B,0))</f>
        <v>Q1 2024</v>
      </c>
      <c r="F37" s="18" t="n">
        <v>4500000</v>
      </c>
      <c r="G37" s="18" t="n">
        <v>3606032.2</v>
      </c>
      <c r="J37" s="22" t="n">
        <v>0</v>
      </c>
      <c r="K37" s="22" t="n">
        <v>0</v>
      </c>
      <c r="L37" s="22" t="n">
        <f aca="false">J37-K37</f>
        <v>0</v>
      </c>
    </row>
    <row r="38" customFormat="false" ht="15" hidden="false" customHeight="true" outlineLevel="0" collapsed="false">
      <c r="B38" s="7" t="s">
        <v>151</v>
      </c>
      <c r="C38" s="7" t="s">
        <v>152</v>
      </c>
      <c r="D38" s="7" t="n">
        <v>10</v>
      </c>
      <c r="E38" s="7" t="str">
        <f aca="false">INDEX(Quarters!$E:$E,MATCH(D38,Quarters!$B:$B,0))</f>
        <v>Q2 2024</v>
      </c>
      <c r="F38" s="18" t="n">
        <v>4500000</v>
      </c>
      <c r="G38" s="18" t="n">
        <v>3421777.56</v>
      </c>
      <c r="J38" s="22" t="n">
        <v>0</v>
      </c>
      <c r="K38" s="22" t="n">
        <v>0</v>
      </c>
      <c r="L38" s="22" t="n">
        <f aca="false">J38-K38</f>
        <v>0</v>
      </c>
    </row>
    <row r="39" customFormat="false" ht="15" hidden="false" customHeight="true" outlineLevel="0" collapsed="false">
      <c r="B39" s="7" t="s">
        <v>151</v>
      </c>
      <c r="C39" s="7" t="s">
        <v>152</v>
      </c>
      <c r="D39" s="7" t="n">
        <v>11</v>
      </c>
      <c r="E39" s="7" t="str">
        <f aca="false">INDEX(Quarters!$E:$E,MATCH(D39,Quarters!$B:$B,0))</f>
        <v>Q3 2024</v>
      </c>
      <c r="F39" s="18" t="n">
        <v>4500000</v>
      </c>
      <c r="G39" s="18" t="n">
        <v>3405070.27</v>
      </c>
      <c r="J39" s="22" t="n">
        <v>0</v>
      </c>
      <c r="K39" s="22" t="n">
        <v>0</v>
      </c>
      <c r="L39" s="22" t="n">
        <f aca="false">J39-K39</f>
        <v>0</v>
      </c>
    </row>
    <row r="40" customFormat="false" ht="15" hidden="false" customHeight="true" outlineLevel="0" collapsed="false">
      <c r="B40" s="7" t="s">
        <v>151</v>
      </c>
      <c r="C40" s="7" t="s">
        <v>152</v>
      </c>
      <c r="D40" s="7" t="n">
        <v>12</v>
      </c>
      <c r="E40" s="7" t="str">
        <f aca="false">INDEX(Quarters!$E:$E,MATCH(D40,Quarters!$B:$B,0))</f>
        <v>Q4 2024</v>
      </c>
      <c r="F40" s="18" t="n">
        <v>4500000</v>
      </c>
      <c r="G40" s="18" t="n">
        <v>3428135.65</v>
      </c>
      <c r="J40" s="22" t="n">
        <v>0</v>
      </c>
      <c r="K40" s="22" t="n">
        <v>0</v>
      </c>
      <c r="L40" s="22" t="n">
        <f aca="false">J40-K40</f>
        <v>0</v>
      </c>
    </row>
    <row r="41" customFormat="false" ht="15" hidden="false" customHeight="true" outlineLevel="0" collapsed="false">
      <c r="B41" s="7" t="s">
        <v>151</v>
      </c>
      <c r="C41" s="7" t="s">
        <v>152</v>
      </c>
      <c r="D41" s="7" t="n">
        <v>13</v>
      </c>
      <c r="E41" s="7" t="str">
        <f aca="false">INDEX(Quarters!$E:$E,MATCH(D41,Quarters!$B:$B,0))</f>
        <v>Q1 2025</v>
      </c>
      <c r="F41" s="18" t="n">
        <v>4500000</v>
      </c>
      <c r="G41" s="18" t="n">
        <v>3410854.63</v>
      </c>
      <c r="J41" s="22" t="n">
        <v>0</v>
      </c>
      <c r="K41" s="22" t="n">
        <v>0</v>
      </c>
      <c r="L41" s="22" t="n">
        <f aca="false">J41-K41</f>
        <v>0</v>
      </c>
    </row>
    <row r="42" customFormat="false" ht="15" hidden="false" customHeight="true" outlineLevel="0" collapsed="false">
      <c r="B42" s="7" t="s">
        <v>151</v>
      </c>
      <c r="C42" s="7" t="s">
        <v>152</v>
      </c>
      <c r="D42" s="7" t="n">
        <v>14</v>
      </c>
      <c r="E42" s="7" t="str">
        <f aca="false">INDEX(Quarters!$E:$E,MATCH(D42,Quarters!$B:$B,0))</f>
        <v>Q2 2025</v>
      </c>
      <c r="F42" s="18" t="n">
        <v>4500000</v>
      </c>
      <c r="G42" s="18" t="n">
        <v>3424169.09</v>
      </c>
      <c r="J42" s="22" t="n">
        <v>0</v>
      </c>
      <c r="K42" s="22" t="n">
        <v>0</v>
      </c>
      <c r="L42" s="22" t="n">
        <f aca="false">J42-K42</f>
        <v>0</v>
      </c>
    </row>
    <row r="43" customFormat="false" ht="15" hidden="false" customHeight="true" outlineLevel="0" collapsed="false">
      <c r="B43" s="7" t="s">
        <v>151</v>
      </c>
      <c r="C43" s="7" t="s">
        <v>152</v>
      </c>
      <c r="D43" s="7" t="n">
        <v>15</v>
      </c>
      <c r="E43" s="7" t="str">
        <f aca="false">INDEX(Quarters!$E:$E,MATCH(D43,Quarters!$B:$B,0))</f>
        <v>Q3 2025</v>
      </c>
      <c r="F43" s="18" t="n">
        <v>4500000</v>
      </c>
      <c r="G43" s="18" t="n">
        <v>3435328.2</v>
      </c>
      <c r="J43" s="22" t="n">
        <v>0</v>
      </c>
      <c r="K43" s="22" t="n">
        <v>0</v>
      </c>
      <c r="L43" s="22" t="n">
        <f aca="false">J43-K43</f>
        <v>0</v>
      </c>
    </row>
    <row r="44" customFormat="false" ht="15" hidden="false" customHeight="true" outlineLevel="0" collapsed="false">
      <c r="B44" s="7" t="s">
        <v>151</v>
      </c>
      <c r="C44" s="7" t="s">
        <v>152</v>
      </c>
      <c r="D44" s="7" t="n">
        <v>16</v>
      </c>
      <c r="E44" s="7" t="str">
        <f aca="false">INDEX(Quarters!$E:$E,MATCH(D44,Quarters!$B:$B,0))</f>
        <v>Q4 2025</v>
      </c>
      <c r="F44" s="18" t="n">
        <v>4500000</v>
      </c>
      <c r="G44" s="18" t="n">
        <v>3440113.51</v>
      </c>
      <c r="J44" s="22" t="n">
        <v>0</v>
      </c>
      <c r="K44" s="22" t="n">
        <v>0</v>
      </c>
      <c r="L44" s="22" t="n">
        <f aca="false">J44-K44</f>
        <v>0</v>
      </c>
    </row>
    <row r="45" customFormat="false" ht="15" hidden="false" customHeight="true" outlineLevel="0" collapsed="false">
      <c r="B45" s="7" t="s">
        <v>151</v>
      </c>
      <c r="C45" s="7" t="s">
        <v>152</v>
      </c>
      <c r="D45" s="7" t="n">
        <v>17</v>
      </c>
      <c r="E45" s="7" t="str">
        <f aca="false">INDEX(Quarters!$E:$E,MATCH(D45,Quarters!$B:$B,0))</f>
        <v>Q1 2026</v>
      </c>
      <c r="F45" s="18" t="n">
        <v>4500000</v>
      </c>
      <c r="G45" s="18" t="n">
        <v>3444627.39</v>
      </c>
      <c r="J45" s="22" t="n">
        <v>0</v>
      </c>
      <c r="K45" s="22" t="n">
        <v>0</v>
      </c>
      <c r="L45" s="22" t="n">
        <f aca="false">J45-K45</f>
        <v>0</v>
      </c>
    </row>
    <row r="46" customFormat="false" ht="15" hidden="false" customHeight="true" outlineLevel="0" collapsed="false">
      <c r="B46" s="7" t="s">
        <v>151</v>
      </c>
      <c r="C46" s="7" t="s">
        <v>152</v>
      </c>
      <c r="D46" s="7" t="n">
        <v>18</v>
      </c>
      <c r="E46" s="7" t="str">
        <f aca="false">INDEX(Quarters!$E:$E,MATCH(D46,Quarters!$B:$B,0))</f>
        <v>Q2 2026</v>
      </c>
      <c r="F46" s="18" t="n">
        <v>4500000</v>
      </c>
      <c r="G46" s="18" t="n">
        <v>3449248.61</v>
      </c>
      <c r="J46" s="22" t="n">
        <v>0</v>
      </c>
      <c r="K46" s="22" t="n">
        <v>0</v>
      </c>
      <c r="L46" s="22" t="n">
        <f aca="false">J46-K46</f>
        <v>0</v>
      </c>
    </row>
    <row r="47" customFormat="false" ht="15" hidden="false" customHeight="true" outlineLevel="0" collapsed="false">
      <c r="B47" s="7" t="s">
        <v>155</v>
      </c>
      <c r="C47" s="7" t="s">
        <v>156</v>
      </c>
      <c r="D47" s="7" t="n">
        <v>4</v>
      </c>
      <c r="E47" s="7" t="str">
        <f aca="false">INDEX(Quarters!$E:$E,MATCH(D47,Quarters!$B:$B,0))</f>
        <v>Q4 2022</v>
      </c>
      <c r="F47" s="18" t="n">
        <v>5000000</v>
      </c>
      <c r="G47" s="18" t="n">
        <v>5000000</v>
      </c>
      <c r="J47" s="22" t="n">
        <v>0</v>
      </c>
      <c r="K47" s="22" t="n">
        <v>0</v>
      </c>
      <c r="L47" s="22" t="n">
        <f aca="false">J47-K47</f>
        <v>0</v>
      </c>
    </row>
    <row r="48" customFormat="false" ht="15" hidden="false" customHeight="true" outlineLevel="0" collapsed="false">
      <c r="B48" s="7" t="s">
        <v>155</v>
      </c>
      <c r="C48" s="7" t="s">
        <v>156</v>
      </c>
      <c r="D48" s="7" t="n">
        <v>5</v>
      </c>
      <c r="E48" s="7" t="str">
        <f aca="false">INDEX(Quarters!$E:$E,MATCH(D48,Quarters!$B:$B,0))</f>
        <v>Q1 2023</v>
      </c>
      <c r="F48" s="18" t="n">
        <v>5000000</v>
      </c>
      <c r="G48" s="18" t="n">
        <v>5310734.81</v>
      </c>
      <c r="J48" s="22" t="n">
        <v>0</v>
      </c>
      <c r="K48" s="22" t="n">
        <v>0</v>
      </c>
      <c r="L48" s="22" t="n">
        <f aca="false">J48-K48</f>
        <v>0</v>
      </c>
    </row>
    <row r="49" customFormat="false" ht="15" hidden="false" customHeight="true" outlineLevel="0" collapsed="false">
      <c r="B49" s="7" t="s">
        <v>155</v>
      </c>
      <c r="C49" s="7" t="s">
        <v>156</v>
      </c>
      <c r="D49" s="7" t="n">
        <v>6</v>
      </c>
      <c r="E49" s="7" t="str">
        <f aca="false">INDEX(Quarters!$E:$E,MATCH(D49,Quarters!$B:$B,0))</f>
        <v>Q2 2023</v>
      </c>
      <c r="F49" s="18" t="n">
        <v>5000000</v>
      </c>
      <c r="G49" s="18" t="n">
        <v>5601821.23</v>
      </c>
      <c r="J49" s="22" t="n">
        <v>0</v>
      </c>
      <c r="K49" s="22" t="n">
        <v>0</v>
      </c>
      <c r="L49" s="22" t="n">
        <f aca="false">J49-K49</f>
        <v>0</v>
      </c>
    </row>
    <row r="50" customFormat="false" ht="15" hidden="false" customHeight="true" outlineLevel="0" collapsed="false">
      <c r="B50" s="7" t="s">
        <v>155</v>
      </c>
      <c r="C50" s="7" t="s">
        <v>156</v>
      </c>
      <c r="D50" s="7" t="n">
        <v>7</v>
      </c>
      <c r="E50" s="7" t="str">
        <f aca="false">INDEX(Quarters!$E:$E,MATCH(D50,Quarters!$B:$B,0))</f>
        <v>Q3 2023</v>
      </c>
      <c r="F50" s="18" t="n">
        <v>5000000</v>
      </c>
      <c r="G50" s="18" t="n">
        <v>5923754.72</v>
      </c>
      <c r="J50" s="22" t="n">
        <v>0</v>
      </c>
      <c r="K50" s="22" t="n">
        <v>0</v>
      </c>
      <c r="L50" s="22" t="n">
        <f aca="false">J50-K50</f>
        <v>0</v>
      </c>
    </row>
    <row r="51" customFormat="false" ht="15" hidden="false" customHeight="true" outlineLevel="0" collapsed="false">
      <c r="B51" s="7" t="s">
        <v>155</v>
      </c>
      <c r="C51" s="7" t="s">
        <v>156</v>
      </c>
      <c r="D51" s="7" t="n">
        <v>8</v>
      </c>
      <c r="E51" s="7" t="str">
        <f aca="false">INDEX(Quarters!$E:$E,MATCH(D51,Quarters!$B:$B,0))</f>
        <v>Q4 2023</v>
      </c>
      <c r="F51" s="18" t="n">
        <v>5000000</v>
      </c>
      <c r="G51" s="18" t="n">
        <v>6288512.63</v>
      </c>
      <c r="J51" s="22" t="n">
        <v>0</v>
      </c>
      <c r="K51" s="22" t="n">
        <v>0</v>
      </c>
      <c r="L51" s="22" t="n">
        <f aca="false">J51-K51</f>
        <v>0</v>
      </c>
    </row>
    <row r="52" customFormat="false" ht="15" hidden="false" customHeight="true" outlineLevel="0" collapsed="false">
      <c r="B52" s="7" t="s">
        <v>155</v>
      </c>
      <c r="C52" s="7" t="s">
        <v>156</v>
      </c>
      <c r="D52" s="7" t="n">
        <v>9</v>
      </c>
      <c r="E52" s="7" t="str">
        <f aca="false">INDEX(Quarters!$E:$E,MATCH(D52,Quarters!$B:$B,0))</f>
        <v>Q1 2024</v>
      </c>
      <c r="F52" s="18" t="n">
        <v>5000000</v>
      </c>
      <c r="G52" s="18" t="n">
        <v>6518132.2</v>
      </c>
      <c r="J52" s="22" t="n">
        <v>0</v>
      </c>
      <c r="K52" s="22" t="n">
        <v>0</v>
      </c>
      <c r="L52" s="22" t="n">
        <f aca="false">J52-K52</f>
        <v>0</v>
      </c>
    </row>
    <row r="53" customFormat="false" ht="15" hidden="false" customHeight="true" outlineLevel="0" collapsed="false">
      <c r="B53" s="7" t="s">
        <v>155</v>
      </c>
      <c r="C53" s="7" t="s">
        <v>156</v>
      </c>
      <c r="D53" s="7" t="n">
        <v>10</v>
      </c>
      <c r="E53" s="7" t="str">
        <f aca="false">INDEX(Quarters!$E:$E,MATCH(D53,Quarters!$B:$B,0))</f>
        <v>Q2 2024</v>
      </c>
      <c r="F53" s="18" t="n">
        <v>5000000</v>
      </c>
      <c r="G53" s="18" t="n">
        <v>6845107.43</v>
      </c>
      <c r="J53" s="22" t="n">
        <v>0</v>
      </c>
      <c r="K53" s="22" t="n">
        <v>0</v>
      </c>
      <c r="L53" s="22" t="n">
        <f aca="false">J53-K53</f>
        <v>0</v>
      </c>
    </row>
    <row r="54" customFormat="false" ht="15" hidden="false" customHeight="true" outlineLevel="0" collapsed="false">
      <c r="B54" s="7" t="s">
        <v>155</v>
      </c>
      <c r="C54" s="7" t="s">
        <v>156</v>
      </c>
      <c r="D54" s="7" t="n">
        <v>11</v>
      </c>
      <c r="E54" s="7" t="str">
        <f aca="false">INDEX(Quarters!$E:$E,MATCH(D54,Quarters!$B:$B,0))</f>
        <v>Q3 2024</v>
      </c>
      <c r="F54" s="18" t="n">
        <v>5000000</v>
      </c>
      <c r="G54" s="18" t="n">
        <v>7176106.21</v>
      </c>
      <c r="J54" s="22" t="n">
        <v>0</v>
      </c>
      <c r="K54" s="22" t="n">
        <v>0</v>
      </c>
      <c r="L54" s="22" t="n">
        <f aca="false">J54-K54</f>
        <v>0</v>
      </c>
    </row>
    <row r="55" customFormat="false" ht="15" hidden="false" customHeight="true" outlineLevel="0" collapsed="false">
      <c r="B55" s="7" t="s">
        <v>155</v>
      </c>
      <c r="C55" s="7" t="s">
        <v>156</v>
      </c>
      <c r="D55" s="7" t="n">
        <v>12</v>
      </c>
      <c r="E55" s="7" t="str">
        <f aca="false">INDEX(Quarters!$E:$E,MATCH(D55,Quarters!$B:$B,0))</f>
        <v>Q4 2024</v>
      </c>
      <c r="F55" s="18" t="n">
        <v>5000000</v>
      </c>
      <c r="G55" s="18" t="n">
        <v>7508600.08</v>
      </c>
      <c r="J55" s="22" t="n">
        <v>0</v>
      </c>
      <c r="K55" s="22" t="n">
        <v>0</v>
      </c>
      <c r="L55" s="22" t="n">
        <f aca="false">J55-K55</f>
        <v>0</v>
      </c>
    </row>
    <row r="56" customFormat="false" ht="15" hidden="false" customHeight="true" outlineLevel="0" collapsed="false">
      <c r="B56" s="7" t="s">
        <v>155</v>
      </c>
      <c r="C56" s="7" t="s">
        <v>156</v>
      </c>
      <c r="D56" s="7" t="n">
        <v>13</v>
      </c>
      <c r="E56" s="7" t="str">
        <f aca="false">INDEX(Quarters!$E:$E,MATCH(D56,Quarters!$B:$B,0))</f>
        <v>Q1 2025</v>
      </c>
      <c r="F56" s="18" t="n">
        <v>5000000</v>
      </c>
      <c r="G56" s="18" t="n">
        <v>7889273.29</v>
      </c>
      <c r="J56" s="22" t="n">
        <v>0</v>
      </c>
      <c r="K56" s="22" t="n">
        <v>0</v>
      </c>
      <c r="L56" s="22" t="n">
        <f aca="false">J56-K56</f>
        <v>0</v>
      </c>
    </row>
    <row r="57" customFormat="false" ht="15" hidden="false" customHeight="true" outlineLevel="0" collapsed="false">
      <c r="B57" s="7" t="s">
        <v>155</v>
      </c>
      <c r="C57" s="7" t="s">
        <v>156</v>
      </c>
      <c r="D57" s="7" t="n">
        <v>14</v>
      </c>
      <c r="E57" s="7" t="str">
        <f aca="false">INDEX(Quarters!$E:$E,MATCH(D57,Quarters!$B:$B,0))</f>
        <v>Q2 2025</v>
      </c>
      <c r="F57" s="18" t="n">
        <v>5000000</v>
      </c>
      <c r="G57" s="18" t="n">
        <v>8456822.05</v>
      </c>
      <c r="J57" s="22" t="n">
        <v>0</v>
      </c>
      <c r="K57" s="22" t="n">
        <v>0</v>
      </c>
      <c r="L57" s="22" t="n">
        <f aca="false">J57-K57</f>
        <v>0</v>
      </c>
    </row>
    <row r="58" customFormat="false" ht="15" hidden="false" customHeight="true" outlineLevel="0" collapsed="false">
      <c r="B58" s="7" t="s">
        <v>155</v>
      </c>
      <c r="C58" s="7" t="s">
        <v>156</v>
      </c>
      <c r="D58" s="7" t="n">
        <v>15</v>
      </c>
      <c r="E58" s="7" t="str">
        <f aca="false">INDEX(Quarters!$E:$E,MATCH(D58,Quarters!$B:$B,0))</f>
        <v>Q3 2025</v>
      </c>
      <c r="F58" s="18" t="n">
        <v>5000000</v>
      </c>
      <c r="G58" s="18" t="n">
        <v>8825624.29</v>
      </c>
      <c r="J58" s="22" t="n">
        <v>0</v>
      </c>
      <c r="K58" s="22" t="n">
        <v>0</v>
      </c>
      <c r="L58" s="22" t="n">
        <f aca="false">J58-K58</f>
        <v>0</v>
      </c>
    </row>
    <row r="59" customFormat="false" ht="15" hidden="false" customHeight="true" outlineLevel="0" collapsed="false">
      <c r="B59" s="7" t="s">
        <v>155</v>
      </c>
      <c r="C59" s="7" t="s">
        <v>156</v>
      </c>
      <c r="D59" s="7" t="n">
        <v>16</v>
      </c>
      <c r="E59" s="7" t="str">
        <f aca="false">INDEX(Quarters!$E:$E,MATCH(D59,Quarters!$B:$B,0))</f>
        <v>Q4 2025</v>
      </c>
      <c r="F59" s="18" t="n">
        <v>5000000</v>
      </c>
      <c r="G59" s="18" t="n">
        <v>9404755.93</v>
      </c>
      <c r="J59" s="22" t="n">
        <v>0</v>
      </c>
      <c r="K59" s="22" t="n">
        <v>0</v>
      </c>
      <c r="L59" s="22" t="n">
        <f aca="false">J59-K59</f>
        <v>0</v>
      </c>
    </row>
    <row r="60" customFormat="false" ht="15" hidden="false" customHeight="true" outlineLevel="0" collapsed="false">
      <c r="B60" s="7" t="s">
        <v>155</v>
      </c>
      <c r="C60" s="7" t="s">
        <v>156</v>
      </c>
      <c r="D60" s="7" t="n">
        <v>17</v>
      </c>
      <c r="E60" s="7" t="str">
        <f aca="false">INDEX(Quarters!$E:$E,MATCH(D60,Quarters!$B:$B,0))</f>
        <v>Q1 2026</v>
      </c>
      <c r="F60" s="18" t="n">
        <v>5000000</v>
      </c>
      <c r="G60" s="18" t="n">
        <v>9722689</v>
      </c>
      <c r="J60" s="22" t="n">
        <v>0</v>
      </c>
      <c r="K60" s="22" t="n">
        <v>0</v>
      </c>
      <c r="L60" s="22" t="n">
        <f aca="false">J60-K60</f>
        <v>0</v>
      </c>
    </row>
    <row r="61" customFormat="false" ht="15" hidden="false" customHeight="true" outlineLevel="0" collapsed="false">
      <c r="B61" s="7" t="s">
        <v>155</v>
      </c>
      <c r="C61" s="7" t="s">
        <v>156</v>
      </c>
      <c r="D61" s="7" t="n">
        <v>18</v>
      </c>
      <c r="E61" s="7" t="str">
        <f aca="false">INDEX(Quarters!$E:$E,MATCH(D61,Quarters!$B:$B,0))</f>
        <v>Q2 2026</v>
      </c>
      <c r="F61" s="18" t="n">
        <v>5000000</v>
      </c>
      <c r="G61" s="18" t="n">
        <v>10208642.41</v>
      </c>
      <c r="H61" s="8" t="s">
        <v>184</v>
      </c>
      <c r="I61" s="23" t="n">
        <v>0.6</v>
      </c>
      <c r="J61" s="18" t="n">
        <v>6125185.45</v>
      </c>
      <c r="K61" s="18" t="n">
        <v>3000000</v>
      </c>
      <c r="L61" s="22" t="n">
        <f aca="false">J61-K61</f>
        <v>3125185.45</v>
      </c>
    </row>
    <row r="62" customFormat="false" ht="15" hidden="false" customHeight="true" outlineLevel="0" collapsed="false">
      <c r="B62" s="7" t="s">
        <v>159</v>
      </c>
      <c r="C62" s="7" t="s">
        <v>160</v>
      </c>
      <c r="D62" s="7" t="n">
        <v>5</v>
      </c>
      <c r="E62" s="7" t="str">
        <f aca="false">INDEX(Quarters!$E:$E,MATCH(D62,Quarters!$B:$B,0))</f>
        <v>Q1 2023</v>
      </c>
      <c r="F62" s="18" t="n">
        <v>4000000</v>
      </c>
      <c r="G62" s="18" t="n">
        <v>4000000</v>
      </c>
      <c r="J62" s="22" t="n">
        <v>0</v>
      </c>
      <c r="K62" s="22" t="n">
        <v>0</v>
      </c>
      <c r="L62" s="22" t="n">
        <f aca="false">J62-K62</f>
        <v>0</v>
      </c>
    </row>
    <row r="63" customFormat="false" ht="15" hidden="false" customHeight="true" outlineLevel="0" collapsed="false">
      <c r="B63" s="7" t="s">
        <v>159</v>
      </c>
      <c r="C63" s="7" t="s">
        <v>160</v>
      </c>
      <c r="D63" s="7" t="n">
        <v>6</v>
      </c>
      <c r="E63" s="7" t="str">
        <f aca="false">INDEX(Quarters!$E:$E,MATCH(D63,Quarters!$B:$B,0))</f>
        <v>Q2 2023</v>
      </c>
      <c r="F63" s="18" t="n">
        <v>4000000</v>
      </c>
      <c r="G63" s="18" t="n">
        <v>4062510.12</v>
      </c>
      <c r="J63" s="22" t="n">
        <v>0</v>
      </c>
      <c r="K63" s="22" t="n">
        <v>0</v>
      </c>
      <c r="L63" s="22" t="n">
        <f aca="false">J63-K63</f>
        <v>0</v>
      </c>
    </row>
    <row r="64" customFormat="false" ht="15" hidden="false" customHeight="true" outlineLevel="0" collapsed="false">
      <c r="B64" s="7" t="s">
        <v>159</v>
      </c>
      <c r="C64" s="7" t="s">
        <v>160</v>
      </c>
      <c r="D64" s="7" t="n">
        <v>7</v>
      </c>
      <c r="E64" s="7" t="str">
        <f aca="false">INDEX(Quarters!$E:$E,MATCH(D64,Quarters!$B:$B,0))</f>
        <v>Q3 2023</v>
      </c>
      <c r="F64" s="18" t="n">
        <v>4000000</v>
      </c>
      <c r="G64" s="18" t="n">
        <v>4143200.61</v>
      </c>
      <c r="J64" s="22" t="n">
        <v>0</v>
      </c>
      <c r="K64" s="22" t="n">
        <v>0</v>
      </c>
      <c r="L64" s="22" t="n">
        <f aca="false">J64-K64</f>
        <v>0</v>
      </c>
    </row>
    <row r="65" customFormat="false" ht="15" hidden="false" customHeight="true" outlineLevel="0" collapsed="false">
      <c r="B65" s="7" t="s">
        <v>159</v>
      </c>
      <c r="C65" s="7" t="s">
        <v>160</v>
      </c>
      <c r="D65" s="7" t="n">
        <v>8</v>
      </c>
      <c r="E65" s="7" t="str">
        <f aca="false">INDEX(Quarters!$E:$E,MATCH(D65,Quarters!$B:$B,0))</f>
        <v>Q4 2023</v>
      </c>
      <c r="F65" s="18" t="n">
        <v>4000000</v>
      </c>
      <c r="G65" s="18" t="n">
        <v>4230672.96</v>
      </c>
      <c r="J65" s="22" t="n">
        <v>0</v>
      </c>
      <c r="K65" s="22" t="n">
        <v>0</v>
      </c>
      <c r="L65" s="22" t="n">
        <f aca="false">J65-K65</f>
        <v>0</v>
      </c>
    </row>
    <row r="66" customFormat="false" ht="15" hidden="false" customHeight="true" outlineLevel="0" collapsed="false">
      <c r="B66" s="7" t="s">
        <v>159</v>
      </c>
      <c r="C66" s="7" t="s">
        <v>160</v>
      </c>
      <c r="D66" s="7" t="n">
        <v>9</v>
      </c>
      <c r="E66" s="7" t="str">
        <f aca="false">INDEX(Quarters!$E:$E,MATCH(D66,Quarters!$B:$B,0))</f>
        <v>Q1 2024</v>
      </c>
      <c r="F66" s="18" t="n">
        <v>4000000</v>
      </c>
      <c r="G66" s="18" t="n">
        <v>4323466.31</v>
      </c>
      <c r="J66" s="22" t="n">
        <v>0</v>
      </c>
      <c r="K66" s="22" t="n">
        <v>0</v>
      </c>
      <c r="L66" s="22" t="n">
        <f aca="false">J66-K66</f>
        <v>0</v>
      </c>
    </row>
    <row r="67" customFormat="false" ht="15" hidden="false" customHeight="true" outlineLevel="0" collapsed="false">
      <c r="B67" s="7" t="s">
        <v>159</v>
      </c>
      <c r="C67" s="7" t="s">
        <v>160</v>
      </c>
      <c r="D67" s="7" t="n">
        <v>10</v>
      </c>
      <c r="E67" s="7" t="str">
        <f aca="false">INDEX(Quarters!$E:$E,MATCH(D67,Quarters!$B:$B,0))</f>
        <v>Q2 2024</v>
      </c>
      <c r="F67" s="18" t="n">
        <v>4000000</v>
      </c>
      <c r="G67" s="18" t="n">
        <v>4368917.82</v>
      </c>
      <c r="J67" s="22" t="n">
        <v>0</v>
      </c>
      <c r="K67" s="22" t="n">
        <v>0</v>
      </c>
      <c r="L67" s="22" t="n">
        <f aca="false">J67-K67</f>
        <v>0</v>
      </c>
    </row>
    <row r="68" customFormat="false" ht="15" hidden="false" customHeight="true" outlineLevel="0" collapsed="false">
      <c r="B68" s="7" t="s">
        <v>159</v>
      </c>
      <c r="C68" s="7" t="s">
        <v>160</v>
      </c>
      <c r="D68" s="7" t="n">
        <v>11</v>
      </c>
      <c r="E68" s="7" t="str">
        <f aca="false">INDEX(Quarters!$E:$E,MATCH(D68,Quarters!$B:$B,0))</f>
        <v>Q3 2024</v>
      </c>
      <c r="F68" s="18" t="n">
        <v>4000000</v>
      </c>
      <c r="G68" s="18" t="n">
        <v>4409882.9</v>
      </c>
      <c r="J68" s="22" t="n">
        <v>0</v>
      </c>
      <c r="K68" s="22" t="n">
        <v>0</v>
      </c>
      <c r="L68" s="22" t="n">
        <f aca="false">J68-K68</f>
        <v>0</v>
      </c>
    </row>
    <row r="69" customFormat="false" ht="15" hidden="false" customHeight="true" outlineLevel="0" collapsed="false">
      <c r="B69" s="7" t="s">
        <v>159</v>
      </c>
      <c r="C69" s="7" t="s">
        <v>160</v>
      </c>
      <c r="D69" s="7" t="n">
        <v>12</v>
      </c>
      <c r="E69" s="7" t="str">
        <f aca="false">INDEX(Quarters!$E:$E,MATCH(D69,Quarters!$B:$B,0))</f>
        <v>Q4 2024</v>
      </c>
      <c r="F69" s="18" t="n">
        <v>4000000</v>
      </c>
      <c r="G69" s="18" t="n">
        <v>4509457</v>
      </c>
      <c r="J69" s="22" t="n">
        <v>0</v>
      </c>
      <c r="K69" s="22" t="n">
        <v>0</v>
      </c>
      <c r="L69" s="22" t="n">
        <f aca="false">J69-K69</f>
        <v>0</v>
      </c>
    </row>
    <row r="70" customFormat="false" ht="15" hidden="false" customHeight="true" outlineLevel="0" collapsed="false">
      <c r="B70" s="7" t="s">
        <v>159</v>
      </c>
      <c r="C70" s="7" t="s">
        <v>160</v>
      </c>
      <c r="D70" s="7" t="n">
        <v>13</v>
      </c>
      <c r="E70" s="7" t="str">
        <f aca="false">INDEX(Quarters!$E:$E,MATCH(D70,Quarters!$B:$B,0))</f>
        <v>Q1 2025</v>
      </c>
      <c r="F70" s="18" t="n">
        <v>4000000</v>
      </c>
      <c r="G70" s="18" t="n">
        <v>4563962.61</v>
      </c>
      <c r="J70" s="22" t="n">
        <v>0</v>
      </c>
      <c r="K70" s="22" t="n">
        <v>0</v>
      </c>
      <c r="L70" s="22" t="n">
        <f aca="false">J70-K70</f>
        <v>0</v>
      </c>
    </row>
    <row r="71" customFormat="false" ht="15" hidden="false" customHeight="true" outlineLevel="0" collapsed="false">
      <c r="B71" s="7" t="s">
        <v>159</v>
      </c>
      <c r="C71" s="7" t="s">
        <v>160</v>
      </c>
      <c r="D71" s="7" t="n">
        <v>14</v>
      </c>
      <c r="E71" s="7" t="str">
        <f aca="false">INDEX(Quarters!$E:$E,MATCH(D71,Quarters!$B:$B,0))</f>
        <v>Q2 2025</v>
      </c>
      <c r="F71" s="18" t="n">
        <v>4000000</v>
      </c>
      <c r="G71" s="18" t="n">
        <v>4569636.24</v>
      </c>
      <c r="J71" s="22" t="n">
        <v>0</v>
      </c>
      <c r="K71" s="22" t="n">
        <v>0</v>
      </c>
      <c r="L71" s="22" t="n">
        <f aca="false">J71-K71</f>
        <v>0</v>
      </c>
    </row>
    <row r="72" customFormat="false" ht="15" hidden="false" customHeight="true" outlineLevel="0" collapsed="false">
      <c r="B72" s="7" t="s">
        <v>159</v>
      </c>
      <c r="C72" s="7" t="s">
        <v>160</v>
      </c>
      <c r="D72" s="7" t="n">
        <v>15</v>
      </c>
      <c r="E72" s="7" t="str">
        <f aca="false">INDEX(Quarters!$E:$E,MATCH(D72,Quarters!$B:$B,0))</f>
        <v>Q3 2025</v>
      </c>
      <c r="F72" s="18" t="n">
        <v>4000000</v>
      </c>
      <c r="G72" s="18" t="n">
        <v>4581824.04</v>
      </c>
      <c r="J72" s="22" t="n">
        <v>0</v>
      </c>
      <c r="K72" s="22" t="n">
        <v>0</v>
      </c>
      <c r="L72" s="22" t="n">
        <f aca="false">J72-K72</f>
        <v>0</v>
      </c>
    </row>
    <row r="73" customFormat="false" ht="15" hidden="false" customHeight="true" outlineLevel="0" collapsed="false">
      <c r="B73" s="7" t="s">
        <v>159</v>
      </c>
      <c r="C73" s="7" t="s">
        <v>160</v>
      </c>
      <c r="D73" s="7" t="n">
        <v>16</v>
      </c>
      <c r="E73" s="7" t="str">
        <f aca="false">INDEX(Quarters!$E:$E,MATCH(D73,Quarters!$B:$B,0))</f>
        <v>Q4 2025</v>
      </c>
      <c r="F73" s="18" t="n">
        <v>4000000</v>
      </c>
      <c r="G73" s="18" t="n">
        <v>4603841.89</v>
      </c>
      <c r="J73" s="22" t="n">
        <v>0</v>
      </c>
      <c r="K73" s="22" t="n">
        <v>0</v>
      </c>
      <c r="L73" s="22" t="n">
        <f aca="false">J73-K73</f>
        <v>0</v>
      </c>
    </row>
    <row r="74" customFormat="false" ht="15" hidden="false" customHeight="true" outlineLevel="0" collapsed="false">
      <c r="B74" s="7" t="s">
        <v>159</v>
      </c>
      <c r="C74" s="7" t="s">
        <v>160</v>
      </c>
      <c r="D74" s="7" t="n">
        <v>17</v>
      </c>
      <c r="E74" s="7" t="str">
        <f aca="false">INDEX(Quarters!$E:$E,MATCH(D74,Quarters!$B:$B,0))</f>
        <v>Q1 2026</v>
      </c>
      <c r="F74" s="18" t="n">
        <v>4000000</v>
      </c>
      <c r="G74" s="18" t="n">
        <v>4691184.17</v>
      </c>
      <c r="J74" s="22" t="n">
        <v>0</v>
      </c>
      <c r="K74" s="22" t="n">
        <v>0</v>
      </c>
      <c r="L74" s="22" t="n">
        <f aca="false">J74-K74</f>
        <v>0</v>
      </c>
    </row>
    <row r="75" customFormat="false" ht="15" hidden="false" customHeight="true" outlineLevel="0" collapsed="false">
      <c r="B75" s="7" t="s">
        <v>159</v>
      </c>
      <c r="C75" s="7" t="s">
        <v>160</v>
      </c>
      <c r="D75" s="7" t="n">
        <v>18</v>
      </c>
      <c r="E75" s="7" t="str">
        <f aca="false">INDEX(Quarters!$E:$E,MATCH(D75,Quarters!$B:$B,0))</f>
        <v>Q2 2026</v>
      </c>
      <c r="F75" s="18" t="n">
        <v>4000000</v>
      </c>
      <c r="G75" s="18" t="n">
        <v>4763542.21</v>
      </c>
      <c r="J75" s="22" t="n">
        <v>0</v>
      </c>
      <c r="K75" s="22" t="n">
        <v>0</v>
      </c>
      <c r="L75" s="22" t="n">
        <f aca="false">J75-K75</f>
        <v>0</v>
      </c>
    </row>
    <row r="76" customFormat="false" ht="15" hidden="false" customHeight="true" outlineLevel="0" collapsed="false">
      <c r="B76" s="7" t="s">
        <v>162</v>
      </c>
      <c r="C76" s="7" t="s">
        <v>163</v>
      </c>
      <c r="D76" s="7" t="n">
        <v>6</v>
      </c>
      <c r="E76" s="7" t="str">
        <f aca="false">INDEX(Quarters!$E:$E,MATCH(D76,Quarters!$B:$B,0))</f>
        <v>Q2 2023</v>
      </c>
      <c r="F76" s="18" t="n">
        <v>5000000</v>
      </c>
      <c r="G76" s="18" t="n">
        <v>5000000</v>
      </c>
      <c r="J76" s="22" t="n">
        <v>0</v>
      </c>
      <c r="K76" s="22" t="n">
        <v>0</v>
      </c>
      <c r="L76" s="22" t="n">
        <f aca="false">J76-K76</f>
        <v>0</v>
      </c>
    </row>
    <row r="77" customFormat="false" ht="15" hidden="false" customHeight="true" outlineLevel="0" collapsed="false">
      <c r="B77" s="7" t="s">
        <v>162</v>
      </c>
      <c r="C77" s="7" t="s">
        <v>163</v>
      </c>
      <c r="D77" s="7" t="n">
        <v>7</v>
      </c>
      <c r="E77" s="7" t="str">
        <f aca="false">INDEX(Quarters!$E:$E,MATCH(D77,Quarters!$B:$B,0))</f>
        <v>Q3 2023</v>
      </c>
      <c r="F77" s="18" t="n">
        <v>5000000</v>
      </c>
      <c r="G77" s="18" t="n">
        <v>5576786.4</v>
      </c>
      <c r="J77" s="22" t="n">
        <v>0</v>
      </c>
      <c r="K77" s="22" t="n">
        <v>0</v>
      </c>
      <c r="L77" s="22" t="n">
        <f aca="false">J77-K77</f>
        <v>0</v>
      </c>
    </row>
    <row r="78" customFormat="false" ht="15" hidden="false" customHeight="true" outlineLevel="0" collapsed="false">
      <c r="B78" s="7" t="s">
        <v>162</v>
      </c>
      <c r="C78" s="7" t="s">
        <v>163</v>
      </c>
      <c r="D78" s="7" t="n">
        <v>8</v>
      </c>
      <c r="E78" s="7" t="str">
        <f aca="false">INDEX(Quarters!$E:$E,MATCH(D78,Quarters!$B:$B,0))</f>
        <v>Q4 2023</v>
      </c>
      <c r="F78" s="18" t="n">
        <v>5000000</v>
      </c>
      <c r="G78" s="18" t="n">
        <v>6126608.52</v>
      </c>
      <c r="J78" s="22" t="n">
        <v>0</v>
      </c>
      <c r="K78" s="22" t="n">
        <v>0</v>
      </c>
      <c r="L78" s="22" t="n">
        <f aca="false">J78-K78</f>
        <v>0</v>
      </c>
    </row>
    <row r="79" customFormat="false" ht="15" hidden="false" customHeight="true" outlineLevel="0" collapsed="false">
      <c r="B79" s="7" t="s">
        <v>162</v>
      </c>
      <c r="C79" s="7" t="s">
        <v>163</v>
      </c>
      <c r="D79" s="7" t="n">
        <v>9</v>
      </c>
      <c r="E79" s="7" t="str">
        <f aca="false">INDEX(Quarters!$E:$E,MATCH(D79,Quarters!$B:$B,0))</f>
        <v>Q1 2024</v>
      </c>
      <c r="F79" s="18" t="n">
        <v>5000000</v>
      </c>
      <c r="G79" s="18" t="n">
        <v>6784472.08</v>
      </c>
      <c r="J79" s="22" t="n">
        <v>0</v>
      </c>
      <c r="K79" s="22" t="n">
        <v>0</v>
      </c>
      <c r="L79" s="22" t="n">
        <f aca="false">J79-K79</f>
        <v>0</v>
      </c>
    </row>
    <row r="80" customFormat="false" ht="15" hidden="false" customHeight="true" outlineLevel="0" collapsed="false">
      <c r="B80" s="7" t="s">
        <v>162</v>
      </c>
      <c r="C80" s="7" t="s">
        <v>163</v>
      </c>
      <c r="D80" s="7" t="n">
        <v>10</v>
      </c>
      <c r="E80" s="7" t="str">
        <f aca="false">INDEX(Quarters!$E:$E,MATCH(D80,Quarters!$B:$B,0))</f>
        <v>Q2 2024</v>
      </c>
      <c r="F80" s="18" t="n">
        <v>5000000</v>
      </c>
      <c r="G80" s="18" t="n">
        <v>7560506.15</v>
      </c>
      <c r="J80" s="22" t="n">
        <v>0</v>
      </c>
      <c r="K80" s="22" t="n">
        <v>0</v>
      </c>
      <c r="L80" s="22" t="n">
        <f aca="false">J80-K80</f>
        <v>0</v>
      </c>
    </row>
    <row r="81" customFormat="false" ht="15" hidden="false" customHeight="true" outlineLevel="0" collapsed="false">
      <c r="B81" s="7" t="s">
        <v>162</v>
      </c>
      <c r="C81" s="7" t="s">
        <v>163</v>
      </c>
      <c r="D81" s="7" t="n">
        <v>11</v>
      </c>
      <c r="E81" s="7" t="str">
        <f aca="false">INDEX(Quarters!$E:$E,MATCH(D81,Quarters!$B:$B,0))</f>
        <v>Q3 2024</v>
      </c>
      <c r="F81" s="18" t="n">
        <v>5000000</v>
      </c>
      <c r="G81" s="18" t="n">
        <v>8319277.05</v>
      </c>
      <c r="J81" s="22" t="n">
        <v>0</v>
      </c>
      <c r="K81" s="22" t="n">
        <v>0</v>
      </c>
      <c r="L81" s="22" t="n">
        <f aca="false">J81-K81</f>
        <v>0</v>
      </c>
    </row>
    <row r="82" customFormat="false" ht="15" hidden="false" customHeight="true" outlineLevel="0" collapsed="false">
      <c r="B82" s="7" t="s">
        <v>162</v>
      </c>
      <c r="C82" s="7" t="s">
        <v>163</v>
      </c>
      <c r="D82" s="7" t="n">
        <v>12</v>
      </c>
      <c r="E82" s="7" t="str">
        <f aca="false">INDEX(Quarters!$E:$E,MATCH(D82,Quarters!$B:$B,0))</f>
        <v>Q4 2024</v>
      </c>
      <c r="F82" s="18" t="n">
        <v>5000000</v>
      </c>
      <c r="G82" s="18" t="n">
        <v>9249801.74</v>
      </c>
      <c r="J82" s="22" t="n">
        <v>0</v>
      </c>
      <c r="K82" s="22" t="n">
        <v>0</v>
      </c>
      <c r="L82" s="22" t="n">
        <f aca="false">J82-K82</f>
        <v>0</v>
      </c>
    </row>
    <row r="83" customFormat="false" ht="15" hidden="false" customHeight="true" outlineLevel="0" collapsed="false">
      <c r="B83" s="7" t="s">
        <v>162</v>
      </c>
      <c r="C83" s="7" t="s">
        <v>163</v>
      </c>
      <c r="D83" s="7" t="n">
        <v>13</v>
      </c>
      <c r="E83" s="7" t="str">
        <f aca="false">INDEX(Quarters!$E:$E,MATCH(D83,Quarters!$B:$B,0))</f>
        <v>Q1 2025</v>
      </c>
      <c r="F83" s="18" t="n">
        <v>5000000</v>
      </c>
      <c r="G83" s="18" t="n">
        <v>10129190.67</v>
      </c>
      <c r="J83" s="22" t="n">
        <v>0</v>
      </c>
      <c r="K83" s="22" t="n">
        <v>0</v>
      </c>
      <c r="L83" s="22" t="n">
        <f aca="false">J83-K83</f>
        <v>0</v>
      </c>
    </row>
    <row r="84" customFormat="false" ht="15" hidden="false" customHeight="true" outlineLevel="0" collapsed="false">
      <c r="B84" s="7" t="s">
        <v>162</v>
      </c>
      <c r="C84" s="7" t="s">
        <v>163</v>
      </c>
      <c r="D84" s="7" t="n">
        <v>14</v>
      </c>
      <c r="E84" s="7" t="str">
        <f aca="false">INDEX(Quarters!$E:$E,MATCH(D84,Quarters!$B:$B,0))</f>
        <v>Q2 2025</v>
      </c>
      <c r="F84" s="18" t="n">
        <v>5000000</v>
      </c>
      <c r="G84" s="18" t="n">
        <v>11137594.06</v>
      </c>
      <c r="J84" s="22" t="n">
        <v>0</v>
      </c>
      <c r="K84" s="22" t="n">
        <v>0</v>
      </c>
      <c r="L84" s="22" t="n">
        <f aca="false">J84-K84</f>
        <v>0</v>
      </c>
    </row>
    <row r="85" customFormat="false" ht="15" hidden="false" customHeight="true" outlineLevel="0" collapsed="false">
      <c r="B85" s="7" t="s">
        <v>162</v>
      </c>
      <c r="C85" s="7" t="s">
        <v>163</v>
      </c>
      <c r="D85" s="7" t="n">
        <v>15</v>
      </c>
      <c r="E85" s="7" t="str">
        <f aca="false">INDEX(Quarters!$E:$E,MATCH(D85,Quarters!$B:$B,0))</f>
        <v>Q3 2025</v>
      </c>
      <c r="F85" s="18" t="n">
        <v>5000000</v>
      </c>
      <c r="G85" s="18" t="n">
        <v>12243266.81</v>
      </c>
      <c r="J85" s="22" t="n">
        <v>0</v>
      </c>
      <c r="K85" s="22" t="n">
        <v>0</v>
      </c>
      <c r="L85" s="22" t="n">
        <f aca="false">J85-K85</f>
        <v>0</v>
      </c>
    </row>
    <row r="86" customFormat="false" ht="15" hidden="false" customHeight="true" outlineLevel="0" collapsed="false">
      <c r="B86" s="7" t="s">
        <v>162</v>
      </c>
      <c r="C86" s="7" t="s">
        <v>163</v>
      </c>
      <c r="D86" s="7" t="n">
        <v>16</v>
      </c>
      <c r="E86" s="7" t="str">
        <f aca="false">INDEX(Quarters!$E:$E,MATCH(D86,Quarters!$B:$B,0))</f>
        <v>Q4 2025</v>
      </c>
      <c r="F86" s="18" t="n">
        <v>5000000</v>
      </c>
      <c r="G86" s="18" t="n">
        <v>13309195.07</v>
      </c>
      <c r="J86" s="22" t="n">
        <v>0</v>
      </c>
      <c r="K86" s="22" t="n">
        <v>0</v>
      </c>
      <c r="L86" s="22" t="n">
        <f aca="false">J86-K86</f>
        <v>0</v>
      </c>
    </row>
    <row r="87" customFormat="false" ht="15" hidden="false" customHeight="true" outlineLevel="0" collapsed="false">
      <c r="B87" s="7" t="s">
        <v>162</v>
      </c>
      <c r="C87" s="7" t="s">
        <v>163</v>
      </c>
      <c r="D87" s="7" t="n">
        <v>17</v>
      </c>
      <c r="E87" s="7" t="str">
        <f aca="false">INDEX(Quarters!$E:$E,MATCH(D87,Quarters!$B:$B,0))</f>
        <v>Q1 2026</v>
      </c>
      <c r="F87" s="18" t="n">
        <v>5000000</v>
      </c>
      <c r="G87" s="18" t="n">
        <v>14803878.73</v>
      </c>
      <c r="H87" s="8" t="s">
        <v>183</v>
      </c>
      <c r="I87" s="23" t="n">
        <v>1</v>
      </c>
      <c r="J87" s="18" t="n">
        <v>14803878.73</v>
      </c>
      <c r="K87" s="18" t="n">
        <v>5000000</v>
      </c>
      <c r="L87" s="22" t="n">
        <f aca="false">J87-K87</f>
        <v>9803878.73</v>
      </c>
    </row>
    <row r="88" customFormat="false" ht="15" hidden="false" customHeight="true" outlineLevel="0" collapsed="false">
      <c r="B88" s="7" t="s">
        <v>165</v>
      </c>
      <c r="C88" s="7" t="s">
        <v>166</v>
      </c>
      <c r="D88" s="7" t="n">
        <v>7</v>
      </c>
      <c r="E88" s="7" t="str">
        <f aca="false">INDEX(Quarters!$E:$E,MATCH(D88,Quarters!$B:$B,0))</f>
        <v>Q3 2023</v>
      </c>
      <c r="F88" s="18" t="n">
        <v>4500000</v>
      </c>
      <c r="G88" s="18" t="n">
        <v>4500000</v>
      </c>
      <c r="J88" s="22" t="n">
        <v>0</v>
      </c>
      <c r="K88" s="22" t="n">
        <v>0</v>
      </c>
      <c r="L88" s="22" t="n">
        <f aca="false">J88-K88</f>
        <v>0</v>
      </c>
    </row>
    <row r="89" customFormat="false" ht="15" hidden="false" customHeight="true" outlineLevel="0" collapsed="false">
      <c r="B89" s="7" t="s">
        <v>165</v>
      </c>
      <c r="C89" s="7" t="s">
        <v>166</v>
      </c>
      <c r="D89" s="7" t="n">
        <v>8</v>
      </c>
      <c r="E89" s="7" t="str">
        <f aca="false">INDEX(Quarters!$E:$E,MATCH(D89,Quarters!$B:$B,0))</f>
        <v>Q4 2023</v>
      </c>
      <c r="F89" s="18" t="n">
        <v>4500000</v>
      </c>
      <c r="G89" s="18" t="n">
        <v>4717652.27</v>
      </c>
      <c r="J89" s="22" t="n">
        <v>0</v>
      </c>
      <c r="K89" s="22" t="n">
        <v>0</v>
      </c>
      <c r="L89" s="22" t="n">
        <f aca="false">J89-K89</f>
        <v>0</v>
      </c>
    </row>
    <row r="90" customFormat="false" ht="15" hidden="false" customHeight="true" outlineLevel="0" collapsed="false">
      <c r="B90" s="7" t="s">
        <v>165</v>
      </c>
      <c r="C90" s="7" t="s">
        <v>166</v>
      </c>
      <c r="D90" s="7" t="n">
        <v>9</v>
      </c>
      <c r="E90" s="7" t="str">
        <f aca="false">INDEX(Quarters!$E:$E,MATCH(D90,Quarters!$B:$B,0))</f>
        <v>Q1 2024</v>
      </c>
      <c r="F90" s="18" t="n">
        <v>4500000</v>
      </c>
      <c r="G90" s="18" t="n">
        <v>4973112.81</v>
      </c>
      <c r="J90" s="22" t="n">
        <v>0</v>
      </c>
      <c r="K90" s="22" t="n">
        <v>0</v>
      </c>
      <c r="L90" s="22" t="n">
        <f aca="false">J90-K90</f>
        <v>0</v>
      </c>
    </row>
    <row r="91" customFormat="false" ht="15" hidden="false" customHeight="true" outlineLevel="0" collapsed="false">
      <c r="B91" s="7" t="s">
        <v>165</v>
      </c>
      <c r="C91" s="7" t="s">
        <v>166</v>
      </c>
      <c r="D91" s="7" t="n">
        <v>10</v>
      </c>
      <c r="E91" s="7" t="str">
        <f aca="false">INDEX(Quarters!$E:$E,MATCH(D91,Quarters!$B:$B,0))</f>
        <v>Q2 2024</v>
      </c>
      <c r="F91" s="18" t="n">
        <v>4500000</v>
      </c>
      <c r="G91" s="18" t="n">
        <v>5270350.59</v>
      </c>
      <c r="J91" s="22" t="n">
        <v>0</v>
      </c>
      <c r="K91" s="22" t="n">
        <v>0</v>
      </c>
      <c r="L91" s="22" t="n">
        <f aca="false">J91-K91</f>
        <v>0</v>
      </c>
    </row>
    <row r="92" customFormat="false" ht="15" hidden="false" customHeight="true" outlineLevel="0" collapsed="false">
      <c r="B92" s="7" t="s">
        <v>165</v>
      </c>
      <c r="C92" s="7" t="s">
        <v>166</v>
      </c>
      <c r="D92" s="7" t="n">
        <v>11</v>
      </c>
      <c r="E92" s="7" t="str">
        <f aca="false">INDEX(Quarters!$E:$E,MATCH(D92,Quarters!$B:$B,0))</f>
        <v>Q3 2024</v>
      </c>
      <c r="F92" s="18" t="n">
        <v>4500000</v>
      </c>
      <c r="G92" s="18" t="n">
        <v>5583190.03</v>
      </c>
      <c r="J92" s="22" t="n">
        <v>0</v>
      </c>
      <c r="K92" s="22" t="n">
        <v>0</v>
      </c>
      <c r="L92" s="22" t="n">
        <f aca="false">J92-K92</f>
        <v>0</v>
      </c>
    </row>
    <row r="93" customFormat="false" ht="15" hidden="false" customHeight="true" outlineLevel="0" collapsed="false">
      <c r="B93" s="7" t="s">
        <v>165</v>
      </c>
      <c r="C93" s="7" t="s">
        <v>166</v>
      </c>
      <c r="D93" s="7" t="n">
        <v>12</v>
      </c>
      <c r="E93" s="7" t="str">
        <f aca="false">INDEX(Quarters!$E:$E,MATCH(D93,Quarters!$B:$B,0))</f>
        <v>Q4 2024</v>
      </c>
      <c r="F93" s="18" t="n">
        <v>4500000</v>
      </c>
      <c r="G93" s="18" t="n">
        <v>5929261.95</v>
      </c>
      <c r="J93" s="22" t="n">
        <v>0</v>
      </c>
      <c r="K93" s="22" t="n">
        <v>0</v>
      </c>
      <c r="L93" s="22" t="n">
        <f aca="false">J93-K93</f>
        <v>0</v>
      </c>
    </row>
    <row r="94" customFormat="false" ht="15" hidden="false" customHeight="true" outlineLevel="0" collapsed="false">
      <c r="B94" s="7" t="s">
        <v>165</v>
      </c>
      <c r="C94" s="7" t="s">
        <v>166</v>
      </c>
      <c r="D94" s="7" t="n">
        <v>13</v>
      </c>
      <c r="E94" s="7" t="str">
        <f aca="false">INDEX(Quarters!$E:$E,MATCH(D94,Quarters!$B:$B,0))</f>
        <v>Q1 2025</v>
      </c>
      <c r="F94" s="18" t="n">
        <v>4500000</v>
      </c>
      <c r="G94" s="18" t="n">
        <v>6242434.74</v>
      </c>
      <c r="J94" s="22" t="n">
        <v>0</v>
      </c>
      <c r="K94" s="22" t="n">
        <v>0</v>
      </c>
      <c r="L94" s="22" t="n">
        <f aca="false">J94-K94</f>
        <v>0</v>
      </c>
    </row>
    <row r="95" customFormat="false" ht="15" hidden="false" customHeight="true" outlineLevel="0" collapsed="false">
      <c r="B95" s="7" t="s">
        <v>165</v>
      </c>
      <c r="C95" s="7" t="s">
        <v>166</v>
      </c>
      <c r="D95" s="7" t="n">
        <v>14</v>
      </c>
      <c r="E95" s="7" t="str">
        <f aca="false">INDEX(Quarters!$E:$E,MATCH(D95,Quarters!$B:$B,0))</f>
        <v>Q2 2025</v>
      </c>
      <c r="F95" s="18" t="n">
        <v>4500000</v>
      </c>
      <c r="G95" s="18" t="n">
        <v>6547817.28</v>
      </c>
      <c r="J95" s="22" t="n">
        <v>0</v>
      </c>
      <c r="K95" s="22" t="n">
        <v>0</v>
      </c>
      <c r="L95" s="22" t="n">
        <f aca="false">J95-K95</f>
        <v>0</v>
      </c>
    </row>
    <row r="96" customFormat="false" ht="15" hidden="false" customHeight="true" outlineLevel="0" collapsed="false">
      <c r="B96" s="7" t="s">
        <v>165</v>
      </c>
      <c r="C96" s="7" t="s">
        <v>166</v>
      </c>
      <c r="D96" s="7" t="n">
        <v>15</v>
      </c>
      <c r="E96" s="7" t="str">
        <f aca="false">INDEX(Quarters!$E:$E,MATCH(D96,Quarters!$B:$B,0))</f>
        <v>Q3 2025</v>
      </c>
      <c r="F96" s="18" t="n">
        <v>4500000</v>
      </c>
      <c r="G96" s="18" t="n">
        <v>6895135.64</v>
      </c>
      <c r="J96" s="22" t="n">
        <v>0</v>
      </c>
      <c r="K96" s="22" t="n">
        <v>0</v>
      </c>
      <c r="L96" s="22" t="n">
        <f aca="false">J96-K96</f>
        <v>0</v>
      </c>
    </row>
    <row r="97" customFormat="false" ht="15" hidden="false" customHeight="true" outlineLevel="0" collapsed="false">
      <c r="B97" s="7" t="s">
        <v>165</v>
      </c>
      <c r="C97" s="7" t="s">
        <v>166</v>
      </c>
      <c r="D97" s="7" t="n">
        <v>16</v>
      </c>
      <c r="E97" s="7" t="str">
        <f aca="false">INDEX(Quarters!$E:$E,MATCH(D97,Quarters!$B:$B,0))</f>
        <v>Q4 2025</v>
      </c>
      <c r="F97" s="18" t="n">
        <v>4500000</v>
      </c>
      <c r="G97" s="18" t="n">
        <v>7127860.17</v>
      </c>
      <c r="J97" s="22" t="n">
        <v>0</v>
      </c>
      <c r="K97" s="22" t="n">
        <v>0</v>
      </c>
      <c r="L97" s="22" t="n">
        <f aca="false">J97-K97</f>
        <v>0</v>
      </c>
    </row>
    <row r="98" customFormat="false" ht="15" hidden="false" customHeight="true" outlineLevel="0" collapsed="false">
      <c r="B98" s="7" t="s">
        <v>165</v>
      </c>
      <c r="C98" s="7" t="s">
        <v>166</v>
      </c>
      <c r="D98" s="7" t="n">
        <v>17</v>
      </c>
      <c r="E98" s="7" t="str">
        <f aca="false">INDEX(Quarters!$E:$E,MATCH(D98,Quarters!$B:$B,0))</f>
        <v>Q1 2026</v>
      </c>
      <c r="F98" s="18" t="n">
        <v>4500000</v>
      </c>
      <c r="G98" s="18" t="n">
        <v>7388986.84</v>
      </c>
      <c r="J98" s="22" t="n">
        <v>0</v>
      </c>
      <c r="K98" s="22" t="n">
        <v>0</v>
      </c>
      <c r="L98" s="22" t="n">
        <f aca="false">J98-K98</f>
        <v>0</v>
      </c>
    </row>
    <row r="99" customFormat="false" ht="15" hidden="false" customHeight="true" outlineLevel="0" collapsed="false">
      <c r="B99" s="7" t="s">
        <v>165</v>
      </c>
      <c r="C99" s="7" t="s">
        <v>166</v>
      </c>
      <c r="D99" s="7" t="n">
        <v>18</v>
      </c>
      <c r="E99" s="7" t="str">
        <f aca="false">INDEX(Quarters!$E:$E,MATCH(D99,Quarters!$B:$B,0))</f>
        <v>Q2 2026</v>
      </c>
      <c r="F99" s="18" t="n">
        <v>4500000</v>
      </c>
      <c r="G99" s="18" t="n">
        <v>7670711.21</v>
      </c>
      <c r="H99" s="8" t="s">
        <v>183</v>
      </c>
      <c r="I99" s="23" t="n">
        <v>1</v>
      </c>
      <c r="J99" s="18" t="n">
        <v>7670711.21</v>
      </c>
      <c r="K99" s="18" t="n">
        <v>4500000</v>
      </c>
      <c r="L99" s="22" t="n">
        <f aca="false">J99-K99</f>
        <v>3170711.21</v>
      </c>
    </row>
    <row r="100" customFormat="false" ht="15" hidden="false" customHeight="true" outlineLevel="0" collapsed="false">
      <c r="B100" s="7" t="s">
        <v>167</v>
      </c>
      <c r="C100" s="7" t="s">
        <v>168</v>
      </c>
      <c r="D100" s="7" t="n">
        <v>8</v>
      </c>
      <c r="E100" s="7" t="str">
        <f aca="false">INDEX(Quarters!$E:$E,MATCH(D100,Quarters!$B:$B,0))</f>
        <v>Q4 2023</v>
      </c>
      <c r="F100" s="18" t="n">
        <v>3500000</v>
      </c>
      <c r="G100" s="18" t="n">
        <v>3500000</v>
      </c>
      <c r="J100" s="22" t="n">
        <v>0</v>
      </c>
      <c r="K100" s="22" t="n">
        <v>0</v>
      </c>
      <c r="L100" s="22" t="n">
        <f aca="false">J100-K100</f>
        <v>0</v>
      </c>
    </row>
    <row r="101" customFormat="false" ht="15" hidden="false" customHeight="true" outlineLevel="0" collapsed="false">
      <c r="B101" s="7" t="s">
        <v>167</v>
      </c>
      <c r="C101" s="7" t="s">
        <v>168</v>
      </c>
      <c r="D101" s="7" t="n">
        <v>9</v>
      </c>
      <c r="E101" s="7" t="str">
        <f aca="false">INDEX(Quarters!$E:$E,MATCH(D101,Quarters!$B:$B,0))</f>
        <v>Q1 2024</v>
      </c>
      <c r="F101" s="18" t="n">
        <v>3500000</v>
      </c>
      <c r="G101" s="18" t="n">
        <v>3514096.36</v>
      </c>
      <c r="J101" s="22" t="n">
        <v>0</v>
      </c>
      <c r="K101" s="22" t="n">
        <v>0</v>
      </c>
      <c r="L101" s="22" t="n">
        <f aca="false">J101-K101</f>
        <v>0</v>
      </c>
    </row>
    <row r="102" customFormat="false" ht="15" hidden="false" customHeight="true" outlineLevel="0" collapsed="false">
      <c r="B102" s="7" t="s">
        <v>167</v>
      </c>
      <c r="C102" s="7" t="s">
        <v>168</v>
      </c>
      <c r="D102" s="7" t="n">
        <v>10</v>
      </c>
      <c r="E102" s="7" t="str">
        <f aca="false">INDEX(Quarters!$E:$E,MATCH(D102,Quarters!$B:$B,0))</f>
        <v>Q2 2024</v>
      </c>
      <c r="F102" s="18" t="n">
        <v>3500000</v>
      </c>
      <c r="G102" s="18" t="n">
        <v>3577342.16</v>
      </c>
      <c r="J102" s="22" t="n">
        <v>0</v>
      </c>
      <c r="K102" s="22" t="n">
        <v>0</v>
      </c>
      <c r="L102" s="22" t="n">
        <f aca="false">J102-K102</f>
        <v>0</v>
      </c>
    </row>
    <row r="103" customFormat="false" ht="15" hidden="false" customHeight="true" outlineLevel="0" collapsed="false">
      <c r="B103" s="7" t="s">
        <v>167</v>
      </c>
      <c r="C103" s="7" t="s">
        <v>168</v>
      </c>
      <c r="D103" s="7" t="n">
        <v>11</v>
      </c>
      <c r="E103" s="7" t="str">
        <f aca="false">INDEX(Quarters!$E:$E,MATCH(D103,Quarters!$B:$B,0))</f>
        <v>Q3 2024</v>
      </c>
      <c r="F103" s="18" t="n">
        <v>3500000</v>
      </c>
      <c r="G103" s="18" t="n">
        <v>3595032.87</v>
      </c>
      <c r="J103" s="22" t="n">
        <v>0</v>
      </c>
      <c r="K103" s="22" t="n">
        <v>0</v>
      </c>
      <c r="L103" s="22" t="n">
        <f aca="false">J103-K103</f>
        <v>0</v>
      </c>
    </row>
    <row r="104" customFormat="false" ht="15" hidden="false" customHeight="true" outlineLevel="0" collapsed="false">
      <c r="B104" s="7" t="s">
        <v>167</v>
      </c>
      <c r="C104" s="7" t="s">
        <v>168</v>
      </c>
      <c r="D104" s="7" t="n">
        <v>12</v>
      </c>
      <c r="E104" s="7" t="str">
        <f aca="false">INDEX(Quarters!$E:$E,MATCH(D104,Quarters!$B:$B,0))</f>
        <v>Q4 2024</v>
      </c>
      <c r="F104" s="18" t="n">
        <v>3500000</v>
      </c>
      <c r="G104" s="18" t="n">
        <v>3631768.26</v>
      </c>
      <c r="J104" s="22" t="n">
        <v>0</v>
      </c>
      <c r="K104" s="22" t="n">
        <v>0</v>
      </c>
      <c r="L104" s="22" t="n">
        <f aca="false">J104-K104</f>
        <v>0</v>
      </c>
    </row>
    <row r="105" customFormat="false" ht="15" hidden="false" customHeight="true" outlineLevel="0" collapsed="false">
      <c r="B105" s="7" t="s">
        <v>167</v>
      </c>
      <c r="C105" s="7" t="s">
        <v>168</v>
      </c>
      <c r="D105" s="7" t="n">
        <v>13</v>
      </c>
      <c r="E105" s="7" t="str">
        <f aca="false">INDEX(Quarters!$E:$E,MATCH(D105,Quarters!$B:$B,0))</f>
        <v>Q1 2025</v>
      </c>
      <c r="F105" s="18" t="n">
        <v>3500000</v>
      </c>
      <c r="G105" s="18" t="n">
        <v>3729797.98</v>
      </c>
      <c r="J105" s="22" t="n">
        <v>0</v>
      </c>
      <c r="K105" s="22" t="n">
        <v>0</v>
      </c>
      <c r="L105" s="22" t="n">
        <f aca="false">J105-K105</f>
        <v>0</v>
      </c>
    </row>
    <row r="106" customFormat="false" ht="15" hidden="false" customHeight="true" outlineLevel="0" collapsed="false">
      <c r="B106" s="7" t="s">
        <v>167</v>
      </c>
      <c r="C106" s="7" t="s">
        <v>168</v>
      </c>
      <c r="D106" s="7" t="n">
        <v>14</v>
      </c>
      <c r="E106" s="7" t="str">
        <f aca="false">INDEX(Quarters!$E:$E,MATCH(D106,Quarters!$B:$B,0))</f>
        <v>Q2 2025</v>
      </c>
      <c r="F106" s="18" t="n">
        <v>3500000</v>
      </c>
      <c r="G106" s="18" t="n">
        <v>3768727.22</v>
      </c>
      <c r="J106" s="22" t="n">
        <v>0</v>
      </c>
      <c r="K106" s="22" t="n">
        <v>0</v>
      </c>
      <c r="L106" s="22" t="n">
        <f aca="false">J106-K106</f>
        <v>0</v>
      </c>
    </row>
    <row r="107" customFormat="false" ht="15" hidden="false" customHeight="true" outlineLevel="0" collapsed="false">
      <c r="B107" s="7" t="s">
        <v>167</v>
      </c>
      <c r="C107" s="7" t="s">
        <v>168</v>
      </c>
      <c r="D107" s="7" t="n">
        <v>15</v>
      </c>
      <c r="E107" s="7" t="str">
        <f aca="false">INDEX(Quarters!$E:$E,MATCH(D107,Quarters!$B:$B,0))</f>
        <v>Q3 2025</v>
      </c>
      <c r="F107" s="18" t="n">
        <v>3500000</v>
      </c>
      <c r="G107" s="18" t="n">
        <v>3849284.35</v>
      </c>
      <c r="J107" s="22" t="n">
        <v>0</v>
      </c>
      <c r="K107" s="22" t="n">
        <v>0</v>
      </c>
      <c r="L107" s="22" t="n">
        <f aca="false">J107-K107</f>
        <v>0</v>
      </c>
    </row>
    <row r="108" customFormat="false" ht="15" hidden="false" customHeight="true" outlineLevel="0" collapsed="false">
      <c r="B108" s="7" t="s">
        <v>167</v>
      </c>
      <c r="C108" s="7" t="s">
        <v>168</v>
      </c>
      <c r="D108" s="7" t="n">
        <v>16</v>
      </c>
      <c r="E108" s="7" t="str">
        <f aca="false">INDEX(Quarters!$E:$E,MATCH(D108,Quarters!$B:$B,0))</f>
        <v>Q4 2025</v>
      </c>
      <c r="F108" s="18" t="n">
        <v>3500000</v>
      </c>
      <c r="G108" s="18" t="n">
        <v>3867236.73</v>
      </c>
      <c r="J108" s="22" t="n">
        <v>0</v>
      </c>
      <c r="K108" s="22" t="n">
        <v>0</v>
      </c>
      <c r="L108" s="22" t="n">
        <f aca="false">J108-K108</f>
        <v>0</v>
      </c>
    </row>
    <row r="109" customFormat="false" ht="15" hidden="false" customHeight="true" outlineLevel="0" collapsed="false">
      <c r="B109" s="7" t="s">
        <v>167</v>
      </c>
      <c r="C109" s="7" t="s">
        <v>168</v>
      </c>
      <c r="D109" s="7" t="n">
        <v>17</v>
      </c>
      <c r="E109" s="7" t="str">
        <f aca="false">INDEX(Quarters!$E:$E,MATCH(D109,Quarters!$B:$B,0))</f>
        <v>Q1 2026</v>
      </c>
      <c r="F109" s="18" t="n">
        <v>3500000</v>
      </c>
      <c r="G109" s="18" t="n">
        <v>3913433.29</v>
      </c>
      <c r="J109" s="22" t="n">
        <v>0</v>
      </c>
      <c r="K109" s="22" t="n">
        <v>0</v>
      </c>
      <c r="L109" s="22" t="n">
        <f aca="false">J109-K109</f>
        <v>0</v>
      </c>
    </row>
    <row r="110" customFormat="false" ht="15" hidden="false" customHeight="true" outlineLevel="0" collapsed="false">
      <c r="B110" s="7" t="s">
        <v>167</v>
      </c>
      <c r="C110" s="7" t="s">
        <v>168</v>
      </c>
      <c r="D110" s="7" t="n">
        <v>18</v>
      </c>
      <c r="E110" s="7" t="str">
        <f aca="false">INDEX(Quarters!$E:$E,MATCH(D110,Quarters!$B:$B,0))</f>
        <v>Q2 2026</v>
      </c>
      <c r="F110" s="18" t="n">
        <v>3500000</v>
      </c>
      <c r="G110" s="18" t="n">
        <v>3931042.88</v>
      </c>
      <c r="J110" s="22" t="n">
        <v>0</v>
      </c>
      <c r="K110" s="22" t="n">
        <v>0</v>
      </c>
      <c r="L110" s="22" t="n">
        <f aca="false">J110-K110</f>
        <v>0</v>
      </c>
    </row>
    <row r="111" customFormat="false" ht="15" hidden="false" customHeight="true" outlineLevel="0" collapsed="false">
      <c r="B111" s="7" t="s">
        <v>170</v>
      </c>
      <c r="C111" s="7" t="s">
        <v>171</v>
      </c>
      <c r="D111" s="7" t="n">
        <v>9</v>
      </c>
      <c r="E111" s="7" t="str">
        <f aca="false">INDEX(Quarters!$E:$E,MATCH(D111,Quarters!$B:$B,0))</f>
        <v>Q1 2024</v>
      </c>
      <c r="F111" s="18" t="n">
        <v>4000000</v>
      </c>
      <c r="G111" s="18" t="n">
        <v>4000000</v>
      </c>
      <c r="J111" s="22" t="n">
        <v>0</v>
      </c>
      <c r="K111" s="22" t="n">
        <v>0</v>
      </c>
      <c r="L111" s="22" t="n">
        <f aca="false">J111-K111</f>
        <v>0</v>
      </c>
    </row>
    <row r="112" customFormat="false" ht="15" hidden="false" customHeight="true" outlineLevel="0" collapsed="false">
      <c r="B112" s="7" t="s">
        <v>170</v>
      </c>
      <c r="C112" s="7" t="s">
        <v>171</v>
      </c>
      <c r="D112" s="7" t="n">
        <v>10</v>
      </c>
      <c r="E112" s="7" t="str">
        <f aca="false">INDEX(Quarters!$E:$E,MATCH(D112,Quarters!$B:$B,0))</f>
        <v>Q2 2024</v>
      </c>
      <c r="F112" s="18" t="n">
        <v>4000000</v>
      </c>
      <c r="G112" s="18" t="n">
        <v>4199726.41</v>
      </c>
      <c r="J112" s="22" t="n">
        <v>0</v>
      </c>
      <c r="K112" s="22" t="n">
        <v>0</v>
      </c>
      <c r="L112" s="22" t="n">
        <f aca="false">J112-K112</f>
        <v>0</v>
      </c>
    </row>
    <row r="113" customFormat="false" ht="15" hidden="false" customHeight="true" outlineLevel="0" collapsed="false">
      <c r="B113" s="7" t="s">
        <v>170</v>
      </c>
      <c r="C113" s="7" t="s">
        <v>171</v>
      </c>
      <c r="D113" s="7" t="n">
        <v>11</v>
      </c>
      <c r="E113" s="7" t="str">
        <f aca="false">INDEX(Quarters!$E:$E,MATCH(D113,Quarters!$B:$B,0))</f>
        <v>Q3 2024</v>
      </c>
      <c r="F113" s="18" t="n">
        <v>4000000</v>
      </c>
      <c r="G113" s="18" t="n">
        <v>4468860.41</v>
      </c>
      <c r="J113" s="22" t="n">
        <v>0</v>
      </c>
      <c r="K113" s="22" t="n">
        <v>0</v>
      </c>
      <c r="L113" s="22" t="n">
        <f aca="false">J113-K113</f>
        <v>0</v>
      </c>
    </row>
    <row r="114" customFormat="false" ht="15" hidden="false" customHeight="true" outlineLevel="0" collapsed="false">
      <c r="B114" s="7" t="s">
        <v>170</v>
      </c>
      <c r="C114" s="7" t="s">
        <v>171</v>
      </c>
      <c r="D114" s="7" t="n">
        <v>12</v>
      </c>
      <c r="E114" s="7" t="str">
        <f aca="false">INDEX(Quarters!$E:$E,MATCH(D114,Quarters!$B:$B,0))</f>
        <v>Q4 2024</v>
      </c>
      <c r="F114" s="18" t="n">
        <v>4000000</v>
      </c>
      <c r="G114" s="18" t="n">
        <v>4617549.03</v>
      </c>
      <c r="J114" s="22" t="n">
        <v>0</v>
      </c>
      <c r="K114" s="22" t="n">
        <v>0</v>
      </c>
      <c r="L114" s="22" t="n">
        <f aca="false">J114-K114</f>
        <v>0</v>
      </c>
    </row>
    <row r="115" customFormat="false" ht="15" hidden="false" customHeight="true" outlineLevel="0" collapsed="false">
      <c r="B115" s="7" t="s">
        <v>170</v>
      </c>
      <c r="C115" s="7" t="s">
        <v>171</v>
      </c>
      <c r="D115" s="7" t="n">
        <v>13</v>
      </c>
      <c r="E115" s="7" t="str">
        <f aca="false">INDEX(Quarters!$E:$E,MATCH(D115,Quarters!$B:$B,0))</f>
        <v>Q1 2025</v>
      </c>
      <c r="F115" s="18" t="n">
        <v>4000000</v>
      </c>
      <c r="G115" s="18" t="n">
        <v>4890968.34</v>
      </c>
      <c r="J115" s="22" t="n">
        <v>0</v>
      </c>
      <c r="K115" s="22" t="n">
        <v>0</v>
      </c>
      <c r="L115" s="22" t="n">
        <f aca="false">J115-K115</f>
        <v>0</v>
      </c>
    </row>
    <row r="116" customFormat="false" ht="15" hidden="false" customHeight="true" outlineLevel="0" collapsed="false">
      <c r="B116" s="7" t="s">
        <v>170</v>
      </c>
      <c r="C116" s="7" t="s">
        <v>171</v>
      </c>
      <c r="D116" s="7" t="n">
        <v>14</v>
      </c>
      <c r="E116" s="7" t="str">
        <f aca="false">INDEX(Quarters!$E:$E,MATCH(D116,Quarters!$B:$B,0))</f>
        <v>Q2 2025</v>
      </c>
      <c r="F116" s="18" t="n">
        <v>4000000</v>
      </c>
      <c r="G116" s="18" t="n">
        <v>5169033.72</v>
      </c>
      <c r="J116" s="22" t="n">
        <v>0</v>
      </c>
      <c r="K116" s="22" t="n">
        <v>0</v>
      </c>
      <c r="L116" s="22" t="n">
        <f aca="false">J116-K116</f>
        <v>0</v>
      </c>
    </row>
    <row r="117" customFormat="false" ht="15" hidden="false" customHeight="true" outlineLevel="0" collapsed="false">
      <c r="B117" s="7" t="s">
        <v>170</v>
      </c>
      <c r="C117" s="7" t="s">
        <v>171</v>
      </c>
      <c r="D117" s="7" t="n">
        <v>15</v>
      </c>
      <c r="E117" s="7" t="str">
        <f aca="false">INDEX(Quarters!$E:$E,MATCH(D117,Quarters!$B:$B,0))</f>
        <v>Q3 2025</v>
      </c>
      <c r="F117" s="18" t="n">
        <v>4000000</v>
      </c>
      <c r="G117" s="18" t="n">
        <v>5411307.37</v>
      </c>
      <c r="J117" s="22" t="n">
        <v>0</v>
      </c>
      <c r="K117" s="22" t="n">
        <v>0</v>
      </c>
      <c r="L117" s="22" t="n">
        <f aca="false">J117-K117</f>
        <v>0</v>
      </c>
    </row>
    <row r="118" customFormat="false" ht="15" hidden="false" customHeight="true" outlineLevel="0" collapsed="false">
      <c r="B118" s="7" t="s">
        <v>170</v>
      </c>
      <c r="C118" s="7" t="s">
        <v>171</v>
      </c>
      <c r="D118" s="7" t="n">
        <v>16</v>
      </c>
      <c r="E118" s="7" t="str">
        <f aca="false">INDEX(Quarters!$E:$E,MATCH(D118,Quarters!$B:$B,0))</f>
        <v>Q4 2025</v>
      </c>
      <c r="F118" s="18" t="n">
        <v>4000000</v>
      </c>
      <c r="G118" s="18" t="n">
        <v>5609617.2</v>
      </c>
      <c r="J118" s="22" t="n">
        <v>0</v>
      </c>
      <c r="K118" s="22" t="n">
        <v>0</v>
      </c>
      <c r="L118" s="22" t="n">
        <f aca="false">J118-K118</f>
        <v>0</v>
      </c>
    </row>
    <row r="119" customFormat="false" ht="15" hidden="false" customHeight="true" outlineLevel="0" collapsed="false">
      <c r="B119" s="7" t="s">
        <v>170</v>
      </c>
      <c r="C119" s="7" t="s">
        <v>171</v>
      </c>
      <c r="D119" s="7" t="n">
        <v>17</v>
      </c>
      <c r="E119" s="7" t="str">
        <f aca="false">INDEX(Quarters!$E:$E,MATCH(D119,Quarters!$B:$B,0))</f>
        <v>Q1 2026</v>
      </c>
      <c r="F119" s="18" t="n">
        <v>4000000</v>
      </c>
      <c r="G119" s="18" t="n">
        <v>5917391.96</v>
      </c>
      <c r="J119" s="22" t="n">
        <v>0</v>
      </c>
      <c r="K119" s="22" t="n">
        <v>0</v>
      </c>
      <c r="L119" s="22" t="n">
        <f aca="false">J119-K119</f>
        <v>0</v>
      </c>
    </row>
    <row r="120" customFormat="false" ht="15" hidden="false" customHeight="true" outlineLevel="0" collapsed="false">
      <c r="B120" s="7" t="s">
        <v>170</v>
      </c>
      <c r="C120" s="7" t="s">
        <v>171</v>
      </c>
      <c r="D120" s="7" t="n">
        <v>18</v>
      </c>
      <c r="E120" s="7" t="str">
        <f aca="false">INDEX(Quarters!$E:$E,MATCH(D120,Quarters!$B:$B,0))</f>
        <v>Q2 2026</v>
      </c>
      <c r="F120" s="18" t="n">
        <v>4000000</v>
      </c>
      <c r="G120" s="18" t="n">
        <v>6199332.53</v>
      </c>
      <c r="H120" s="8" t="s">
        <v>183</v>
      </c>
      <c r="I120" s="23" t="n">
        <v>1</v>
      </c>
      <c r="J120" s="18" t="n">
        <v>6199332.53</v>
      </c>
      <c r="K120" s="18" t="n">
        <v>4000000</v>
      </c>
      <c r="L120" s="22" t="n">
        <f aca="false">J120-K120</f>
        <v>2199332.53</v>
      </c>
    </row>
    <row r="121" customFormat="false" ht="15" hidden="false" customHeight="true" outlineLevel="0" collapsed="false">
      <c r="B121" s="7" t="s">
        <v>172</v>
      </c>
      <c r="C121" s="7" t="s">
        <v>173</v>
      </c>
      <c r="D121" s="7" t="n">
        <v>10</v>
      </c>
      <c r="E121" s="7" t="str">
        <f aca="false">INDEX(Quarters!$E:$E,MATCH(D121,Quarters!$B:$B,0))</f>
        <v>Q2 2024</v>
      </c>
      <c r="F121" s="18" t="n">
        <v>3500000</v>
      </c>
      <c r="G121" s="18" t="n">
        <v>3500000</v>
      </c>
      <c r="J121" s="22" t="n">
        <v>0</v>
      </c>
      <c r="K121" s="22" t="n">
        <v>0</v>
      </c>
      <c r="L121" s="22" t="n">
        <f aca="false">J121-K121</f>
        <v>0</v>
      </c>
    </row>
    <row r="122" customFormat="false" ht="15" hidden="false" customHeight="true" outlineLevel="0" collapsed="false">
      <c r="B122" s="7" t="s">
        <v>172</v>
      </c>
      <c r="C122" s="7" t="s">
        <v>173</v>
      </c>
      <c r="D122" s="7" t="n">
        <v>11</v>
      </c>
      <c r="E122" s="7" t="str">
        <f aca="false">INDEX(Quarters!$E:$E,MATCH(D122,Quarters!$B:$B,0))</f>
        <v>Q3 2024</v>
      </c>
      <c r="F122" s="18" t="n">
        <v>3500000</v>
      </c>
      <c r="G122" s="18" t="n">
        <v>3698772.4</v>
      </c>
      <c r="J122" s="22" t="n">
        <v>0</v>
      </c>
      <c r="K122" s="22" t="n">
        <v>0</v>
      </c>
      <c r="L122" s="22" t="n">
        <f aca="false">J122-K122</f>
        <v>0</v>
      </c>
    </row>
    <row r="123" customFormat="false" ht="15" hidden="false" customHeight="true" outlineLevel="0" collapsed="false">
      <c r="B123" s="7" t="s">
        <v>172</v>
      </c>
      <c r="C123" s="7" t="s">
        <v>173</v>
      </c>
      <c r="D123" s="7" t="n">
        <v>12</v>
      </c>
      <c r="E123" s="7" t="str">
        <f aca="false">INDEX(Quarters!$E:$E,MATCH(D123,Quarters!$B:$B,0))</f>
        <v>Q4 2024</v>
      </c>
      <c r="F123" s="18" t="n">
        <v>3500000</v>
      </c>
      <c r="G123" s="18" t="n">
        <v>3899476.02</v>
      </c>
      <c r="J123" s="22" t="n">
        <v>0</v>
      </c>
      <c r="K123" s="22" t="n">
        <v>0</v>
      </c>
      <c r="L123" s="22" t="n">
        <f aca="false">J123-K123</f>
        <v>0</v>
      </c>
    </row>
    <row r="124" customFormat="false" ht="15" hidden="false" customHeight="true" outlineLevel="0" collapsed="false">
      <c r="B124" s="7" t="s">
        <v>172</v>
      </c>
      <c r="C124" s="7" t="s">
        <v>173</v>
      </c>
      <c r="D124" s="7" t="n">
        <v>13</v>
      </c>
      <c r="E124" s="7" t="str">
        <f aca="false">INDEX(Quarters!$E:$E,MATCH(D124,Quarters!$B:$B,0))</f>
        <v>Q1 2025</v>
      </c>
      <c r="F124" s="18" t="n">
        <v>3500000</v>
      </c>
      <c r="G124" s="18" t="n">
        <v>4185000.91</v>
      </c>
      <c r="J124" s="22" t="n">
        <v>0</v>
      </c>
      <c r="K124" s="22" t="n">
        <v>0</v>
      </c>
      <c r="L124" s="22" t="n">
        <f aca="false">J124-K124</f>
        <v>0</v>
      </c>
    </row>
    <row r="125" customFormat="false" ht="15" hidden="false" customHeight="true" outlineLevel="0" collapsed="false">
      <c r="B125" s="7" t="s">
        <v>172</v>
      </c>
      <c r="C125" s="7" t="s">
        <v>173</v>
      </c>
      <c r="D125" s="7" t="n">
        <v>14</v>
      </c>
      <c r="E125" s="7" t="str">
        <f aca="false">INDEX(Quarters!$E:$E,MATCH(D125,Quarters!$B:$B,0))</f>
        <v>Q2 2025</v>
      </c>
      <c r="F125" s="18" t="n">
        <v>3500000</v>
      </c>
      <c r="G125" s="18" t="n">
        <v>4398970.52</v>
      </c>
      <c r="J125" s="22" t="n">
        <v>0</v>
      </c>
      <c r="K125" s="22" t="n">
        <v>0</v>
      </c>
      <c r="L125" s="22" t="n">
        <f aca="false">J125-K125</f>
        <v>0</v>
      </c>
    </row>
    <row r="126" customFormat="false" ht="15" hidden="false" customHeight="true" outlineLevel="0" collapsed="false">
      <c r="B126" s="7" t="s">
        <v>172</v>
      </c>
      <c r="C126" s="7" t="s">
        <v>173</v>
      </c>
      <c r="D126" s="7" t="n">
        <v>15</v>
      </c>
      <c r="E126" s="7" t="str">
        <f aca="false">INDEX(Quarters!$E:$E,MATCH(D126,Quarters!$B:$B,0))</f>
        <v>Q3 2025</v>
      </c>
      <c r="F126" s="18" t="n">
        <v>3500000</v>
      </c>
      <c r="G126" s="18" t="n">
        <v>4582486.9</v>
      </c>
      <c r="J126" s="22" t="n">
        <v>0</v>
      </c>
      <c r="K126" s="22" t="n">
        <v>0</v>
      </c>
      <c r="L126" s="22" t="n">
        <f aca="false">J126-K126</f>
        <v>0</v>
      </c>
    </row>
    <row r="127" customFormat="false" ht="15" hidden="false" customHeight="true" outlineLevel="0" collapsed="false">
      <c r="B127" s="7" t="s">
        <v>172</v>
      </c>
      <c r="C127" s="7" t="s">
        <v>173</v>
      </c>
      <c r="D127" s="7" t="n">
        <v>16</v>
      </c>
      <c r="E127" s="7" t="str">
        <f aca="false">INDEX(Quarters!$E:$E,MATCH(D127,Quarters!$B:$B,0))</f>
        <v>Q4 2025</v>
      </c>
      <c r="F127" s="18" t="n">
        <v>3500000</v>
      </c>
      <c r="G127" s="18" t="n">
        <v>4839799.53</v>
      </c>
      <c r="J127" s="22" t="n">
        <v>0</v>
      </c>
      <c r="K127" s="22" t="n">
        <v>0</v>
      </c>
      <c r="L127" s="22" t="n">
        <f aca="false">J127-K127</f>
        <v>0</v>
      </c>
    </row>
    <row r="128" customFormat="false" ht="15" hidden="false" customHeight="true" outlineLevel="0" collapsed="false">
      <c r="B128" s="7" t="s">
        <v>172</v>
      </c>
      <c r="C128" s="7" t="s">
        <v>173</v>
      </c>
      <c r="D128" s="7" t="n">
        <v>17</v>
      </c>
      <c r="E128" s="7" t="str">
        <f aca="false">INDEX(Quarters!$E:$E,MATCH(D128,Quarters!$B:$B,0))</f>
        <v>Q1 2026</v>
      </c>
      <c r="F128" s="18" t="n">
        <v>3500000</v>
      </c>
      <c r="G128" s="18" t="n">
        <v>5113925.59</v>
      </c>
      <c r="J128" s="22" t="n">
        <v>0</v>
      </c>
      <c r="K128" s="22" t="n">
        <v>0</v>
      </c>
      <c r="L128" s="22" t="n">
        <f aca="false">J128-K128</f>
        <v>0</v>
      </c>
    </row>
    <row r="129" customFormat="false" ht="15" hidden="false" customHeight="true" outlineLevel="0" collapsed="false">
      <c r="B129" s="7" t="s">
        <v>172</v>
      </c>
      <c r="C129" s="7" t="s">
        <v>173</v>
      </c>
      <c r="D129" s="7" t="n">
        <v>18</v>
      </c>
      <c r="E129" s="7" t="str">
        <f aca="false">INDEX(Quarters!$E:$E,MATCH(D129,Quarters!$B:$B,0))</f>
        <v>Q2 2026</v>
      </c>
      <c r="F129" s="18" t="n">
        <v>3500000</v>
      </c>
      <c r="G129" s="18" t="n">
        <v>5473486.98</v>
      </c>
      <c r="J129" s="22" t="n">
        <v>0</v>
      </c>
      <c r="K129" s="22" t="n">
        <v>0</v>
      </c>
      <c r="L129" s="22" t="n">
        <f aca="false">J129-K129</f>
        <v>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6" min="6" style="1" width="24"/>
    <col collapsed="false" customWidth="true" hidden="false" outlineLevel="0" max="7" min="7" style="1" width="16"/>
  </cols>
  <sheetData>
    <row r="1" customFormat="false" ht="21.75" hidden="false" customHeight="true" outlineLevel="0" collapsed="false">
      <c r="A1" s="2" t="s">
        <v>185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186</v>
      </c>
      <c r="B2" s="3"/>
      <c r="C2" s="3"/>
      <c r="D2" s="3"/>
      <c r="E2" s="3"/>
      <c r="F2" s="3"/>
    </row>
    <row r="3" customFormat="false" ht="23.25" hidden="false" customHeight="true" outlineLevel="0" collapsed="false">
      <c r="B3" s="15" t="s">
        <v>175</v>
      </c>
      <c r="C3" s="15" t="s">
        <v>69</v>
      </c>
      <c r="D3" s="15" t="s">
        <v>72</v>
      </c>
      <c r="E3" s="15" t="s">
        <v>187</v>
      </c>
      <c r="F3" s="15" t="s">
        <v>188</v>
      </c>
      <c r="G3" s="15" t="s">
        <v>189</v>
      </c>
    </row>
    <row r="4" customFormat="false" ht="15" hidden="false" customHeight="true" outlineLevel="0" collapsed="false">
      <c r="B4" s="7" t="n">
        <v>1</v>
      </c>
      <c r="C4" s="9" t="str">
        <f aca="false">Quarters!$E$4</f>
        <v>Q1 2022</v>
      </c>
      <c r="D4" s="24" t="b">
        <f aca="false">Quarters!$G$4</f>
        <v>1</v>
      </c>
      <c r="E4" s="22" t="n">
        <f aca="false">IF(D4,Assumptions!$C$5,SUMIFS('Portfolio Marks'!$F:$F,'Portfolio Marks'!$D:$D,B4-1))</f>
        <v>50000000</v>
      </c>
      <c r="F4" s="7" t="str">
        <f aca="false">IF(D4,"Committed capital","Invested cost (step-down)")</f>
        <v>Committed capital</v>
      </c>
      <c r="G4" s="22" t="n">
        <f aca="false">E4*Assumptions!$C$9/4</f>
        <v>250000</v>
      </c>
    </row>
    <row r="5" customFormat="false" ht="15" hidden="false" customHeight="true" outlineLevel="0" collapsed="false">
      <c r="B5" s="7" t="n">
        <v>2</v>
      </c>
      <c r="C5" s="9" t="str">
        <f aca="false">Quarters!$E$5</f>
        <v>Q2 2022</v>
      </c>
      <c r="D5" s="24" t="b">
        <f aca="false">Quarters!$G$5</f>
        <v>1</v>
      </c>
      <c r="E5" s="22" t="n">
        <f aca="false">IF(D5,Assumptions!$C$5,SUMIFS('Portfolio Marks'!$F:$F,'Portfolio Marks'!$D:$D,B5-1))</f>
        <v>50000000</v>
      </c>
      <c r="F5" s="7" t="str">
        <f aca="false">IF(D5,"Committed capital","Invested cost (step-down)")</f>
        <v>Committed capital</v>
      </c>
      <c r="G5" s="22" t="n">
        <f aca="false">E5*Assumptions!$C$9/4</f>
        <v>250000</v>
      </c>
    </row>
    <row r="6" customFormat="false" ht="15" hidden="false" customHeight="true" outlineLevel="0" collapsed="false">
      <c r="B6" s="7" t="n">
        <v>3</v>
      </c>
      <c r="C6" s="9" t="str">
        <f aca="false">Quarters!$E$6</f>
        <v>Q3 2022</v>
      </c>
      <c r="D6" s="24" t="b">
        <f aca="false">Quarters!$G$6</f>
        <v>1</v>
      </c>
      <c r="E6" s="22" t="n">
        <f aca="false">IF(D6,Assumptions!$C$5,SUMIFS('Portfolio Marks'!$F:$F,'Portfolio Marks'!$D:$D,B6-1))</f>
        <v>50000000</v>
      </c>
      <c r="F6" s="7" t="str">
        <f aca="false">IF(D6,"Committed capital","Invested cost (step-down)")</f>
        <v>Committed capital</v>
      </c>
      <c r="G6" s="22" t="n">
        <f aca="false">E6*Assumptions!$C$9/4</f>
        <v>250000</v>
      </c>
    </row>
    <row r="7" customFormat="false" ht="15" hidden="false" customHeight="true" outlineLevel="0" collapsed="false">
      <c r="B7" s="7" t="n">
        <v>4</v>
      </c>
      <c r="C7" s="9" t="str">
        <f aca="false">Quarters!$E$7</f>
        <v>Q4 2022</v>
      </c>
      <c r="D7" s="24" t="b">
        <f aca="false">Quarters!$G$7</f>
        <v>1</v>
      </c>
      <c r="E7" s="22" t="n">
        <f aca="false">IF(D7,Assumptions!$C$5,SUMIFS('Portfolio Marks'!$F:$F,'Portfolio Marks'!$D:$D,B7-1))</f>
        <v>50000000</v>
      </c>
      <c r="F7" s="7" t="str">
        <f aca="false">IF(D7,"Committed capital","Invested cost (step-down)")</f>
        <v>Committed capital</v>
      </c>
      <c r="G7" s="22" t="n">
        <f aca="false">E7*Assumptions!$C$9/4</f>
        <v>250000</v>
      </c>
    </row>
    <row r="8" customFormat="false" ht="15" hidden="false" customHeight="true" outlineLevel="0" collapsed="false">
      <c r="B8" s="7" t="n">
        <v>5</v>
      </c>
      <c r="C8" s="9" t="str">
        <f aca="false">Quarters!$E$8</f>
        <v>Q1 2023</v>
      </c>
      <c r="D8" s="24" t="b">
        <f aca="false">Quarters!$G$8</f>
        <v>1</v>
      </c>
      <c r="E8" s="22" t="n">
        <f aca="false">IF(D8,Assumptions!$C$5,SUMIFS('Portfolio Marks'!$F:$F,'Portfolio Marks'!$D:$D,B8-1))</f>
        <v>50000000</v>
      </c>
      <c r="F8" s="7" t="str">
        <f aca="false">IF(D8,"Committed capital","Invested cost (step-down)")</f>
        <v>Committed capital</v>
      </c>
      <c r="G8" s="22" t="n">
        <f aca="false">E8*Assumptions!$C$9/4</f>
        <v>250000</v>
      </c>
    </row>
    <row r="9" customFormat="false" ht="15" hidden="false" customHeight="true" outlineLevel="0" collapsed="false">
      <c r="B9" s="7" t="n">
        <v>6</v>
      </c>
      <c r="C9" s="9" t="str">
        <f aca="false">Quarters!$E$9</f>
        <v>Q2 2023</v>
      </c>
      <c r="D9" s="24" t="b">
        <f aca="false">Quarters!$G$9</f>
        <v>1</v>
      </c>
      <c r="E9" s="22" t="n">
        <f aca="false">IF(D9,Assumptions!$C$5,SUMIFS('Portfolio Marks'!$F:$F,'Portfolio Marks'!$D:$D,B9-1))</f>
        <v>50000000</v>
      </c>
      <c r="F9" s="7" t="str">
        <f aca="false">IF(D9,"Committed capital","Invested cost (step-down)")</f>
        <v>Committed capital</v>
      </c>
      <c r="G9" s="22" t="n">
        <f aca="false">E9*Assumptions!$C$9/4</f>
        <v>250000</v>
      </c>
    </row>
    <row r="10" customFormat="false" ht="15" hidden="false" customHeight="true" outlineLevel="0" collapsed="false">
      <c r="B10" s="7" t="n">
        <v>7</v>
      </c>
      <c r="C10" s="9" t="str">
        <f aca="false">Quarters!$E$10</f>
        <v>Q3 2023</v>
      </c>
      <c r="D10" s="24" t="b">
        <f aca="false">Quarters!$G$10</f>
        <v>1</v>
      </c>
      <c r="E10" s="22" t="n">
        <f aca="false">IF(D10,Assumptions!$C$5,SUMIFS('Portfolio Marks'!$F:$F,'Portfolio Marks'!$D:$D,B10-1))</f>
        <v>50000000</v>
      </c>
      <c r="F10" s="7" t="str">
        <f aca="false">IF(D10,"Committed capital","Invested cost (step-down)")</f>
        <v>Committed capital</v>
      </c>
      <c r="G10" s="22" t="n">
        <f aca="false">E10*Assumptions!$C$9/4</f>
        <v>250000</v>
      </c>
    </row>
    <row r="11" customFormat="false" ht="15" hidden="false" customHeight="true" outlineLevel="0" collapsed="false">
      <c r="B11" s="7" t="n">
        <v>8</v>
      </c>
      <c r="C11" s="9" t="str">
        <f aca="false">Quarters!$E$11</f>
        <v>Q4 2023</v>
      </c>
      <c r="D11" s="24" t="b">
        <f aca="false">Quarters!$G$11</f>
        <v>1</v>
      </c>
      <c r="E11" s="22" t="n">
        <f aca="false">IF(D11,Assumptions!$C$5,SUMIFS('Portfolio Marks'!$F:$F,'Portfolio Marks'!$D:$D,B11-1))</f>
        <v>50000000</v>
      </c>
      <c r="F11" s="7" t="str">
        <f aca="false">IF(D11,"Committed capital","Invested cost (step-down)")</f>
        <v>Committed capital</v>
      </c>
      <c r="G11" s="22" t="n">
        <f aca="false">E11*Assumptions!$C$9/4</f>
        <v>250000</v>
      </c>
    </row>
    <row r="12" customFormat="false" ht="15" hidden="false" customHeight="true" outlineLevel="0" collapsed="false">
      <c r="B12" s="7" t="n">
        <v>9</v>
      </c>
      <c r="C12" s="9" t="str">
        <f aca="false">Quarters!$E$12</f>
        <v>Q1 2024</v>
      </c>
      <c r="D12" s="24" t="b">
        <f aca="false">Quarters!$G$12</f>
        <v>1</v>
      </c>
      <c r="E12" s="22" t="n">
        <f aca="false">IF(D12,Assumptions!$C$5,SUMIFS('Portfolio Marks'!$F:$F,'Portfolio Marks'!$D:$D,B12-1))</f>
        <v>50000000</v>
      </c>
      <c r="F12" s="7" t="str">
        <f aca="false">IF(D12,"Committed capital","Invested cost (step-down)")</f>
        <v>Committed capital</v>
      </c>
      <c r="G12" s="22" t="n">
        <f aca="false">E12*Assumptions!$C$9/4</f>
        <v>250000</v>
      </c>
    </row>
    <row r="13" customFormat="false" ht="15" hidden="false" customHeight="true" outlineLevel="0" collapsed="false">
      <c r="B13" s="7" t="n">
        <v>10</v>
      </c>
      <c r="C13" s="9" t="str">
        <f aca="false">Quarters!$E$13</f>
        <v>Q2 2024</v>
      </c>
      <c r="D13" s="24" t="b">
        <f aca="false">Quarters!$G$13</f>
        <v>1</v>
      </c>
      <c r="E13" s="22" t="n">
        <f aca="false">IF(D13,Assumptions!$C$5,SUMIFS('Portfolio Marks'!$F:$F,'Portfolio Marks'!$D:$D,B13-1))</f>
        <v>50000000</v>
      </c>
      <c r="F13" s="7" t="str">
        <f aca="false">IF(D13,"Committed capital","Invested cost (step-down)")</f>
        <v>Committed capital</v>
      </c>
      <c r="G13" s="22" t="n">
        <f aca="false">E13*Assumptions!$C$9/4</f>
        <v>250000</v>
      </c>
    </row>
    <row r="14" customFormat="false" ht="15" hidden="false" customHeight="true" outlineLevel="0" collapsed="false">
      <c r="B14" s="7" t="n">
        <v>11</v>
      </c>
      <c r="C14" s="9" t="str">
        <f aca="false">Quarters!$E$14</f>
        <v>Q3 2024</v>
      </c>
      <c r="D14" s="24" t="b">
        <f aca="false">Quarters!$G$14</f>
        <v>1</v>
      </c>
      <c r="E14" s="22" t="n">
        <f aca="false">IF(D14,Assumptions!$C$5,SUMIFS('Portfolio Marks'!$F:$F,'Portfolio Marks'!$D:$D,B14-1))</f>
        <v>50000000</v>
      </c>
      <c r="F14" s="7" t="str">
        <f aca="false">IF(D14,"Committed capital","Invested cost (step-down)")</f>
        <v>Committed capital</v>
      </c>
      <c r="G14" s="22" t="n">
        <f aca="false">E14*Assumptions!$C$9/4</f>
        <v>250000</v>
      </c>
    </row>
    <row r="15" customFormat="false" ht="15" hidden="false" customHeight="true" outlineLevel="0" collapsed="false">
      <c r="B15" s="7" t="n">
        <v>12</v>
      </c>
      <c r="C15" s="9" t="str">
        <f aca="false">Quarters!$E$15</f>
        <v>Q4 2024</v>
      </c>
      <c r="D15" s="24" t="b">
        <f aca="false">Quarters!$G$15</f>
        <v>1</v>
      </c>
      <c r="E15" s="22" t="n">
        <f aca="false">IF(D15,Assumptions!$C$5,SUMIFS('Portfolio Marks'!$F:$F,'Portfolio Marks'!$D:$D,B15-1))</f>
        <v>50000000</v>
      </c>
      <c r="F15" s="7" t="str">
        <f aca="false">IF(D15,"Committed capital","Invested cost (step-down)")</f>
        <v>Committed capital</v>
      </c>
      <c r="G15" s="22" t="n">
        <f aca="false">E15*Assumptions!$C$9/4</f>
        <v>250000</v>
      </c>
    </row>
    <row r="16" customFormat="false" ht="15" hidden="false" customHeight="true" outlineLevel="0" collapsed="false">
      <c r="B16" s="7" t="n">
        <v>13</v>
      </c>
      <c r="C16" s="9" t="str">
        <f aca="false">Quarters!$E$16</f>
        <v>Q1 2025</v>
      </c>
      <c r="D16" s="24" t="b">
        <f aca="false">Quarters!$G$16</f>
        <v>0</v>
      </c>
      <c r="E16" s="22" t="n">
        <f aca="false">IF(D16,Assumptions!$C$5,SUMIFS('Portfolio Marks'!$F:$F,'Portfolio Marks'!$D:$D,B16-1))</f>
        <v>45500000</v>
      </c>
      <c r="F16" s="7" t="str">
        <f aca="false">IF(D16,"Committed capital","Invested cost (step-down)")</f>
        <v>Invested cost (step-down)</v>
      </c>
      <c r="G16" s="22" t="n">
        <f aca="false">E16*Assumptions!$C$9/4</f>
        <v>227500</v>
      </c>
    </row>
    <row r="17" customFormat="false" ht="15" hidden="false" customHeight="true" outlineLevel="0" collapsed="false">
      <c r="B17" s="7" t="n">
        <v>14</v>
      </c>
      <c r="C17" s="9" t="str">
        <f aca="false">Quarters!$E$17</f>
        <v>Q2 2025</v>
      </c>
      <c r="D17" s="24" t="b">
        <f aca="false">Quarters!$G$17</f>
        <v>0</v>
      </c>
      <c r="E17" s="22" t="n">
        <f aca="false">IF(D17,Assumptions!$C$5,SUMIFS('Portfolio Marks'!$F:$F,'Portfolio Marks'!$D:$D,B17-1))</f>
        <v>45500000</v>
      </c>
      <c r="F17" s="7" t="str">
        <f aca="false">IF(D17,"Committed capital","Invested cost (step-down)")</f>
        <v>Invested cost (step-down)</v>
      </c>
      <c r="G17" s="22" t="n">
        <f aca="false">E17*Assumptions!$C$9/4</f>
        <v>227500</v>
      </c>
    </row>
    <row r="18" customFormat="false" ht="15" hidden="false" customHeight="true" outlineLevel="0" collapsed="false">
      <c r="B18" s="7" t="n">
        <v>15</v>
      </c>
      <c r="C18" s="9" t="str">
        <f aca="false">Quarters!$E$18</f>
        <v>Q3 2025</v>
      </c>
      <c r="D18" s="24" t="b">
        <f aca="false">Quarters!$G$18</f>
        <v>0</v>
      </c>
      <c r="E18" s="22" t="n">
        <f aca="false">IF(D18,Assumptions!$C$5,SUMIFS('Portfolio Marks'!$F:$F,'Portfolio Marks'!$D:$D,B18-1))</f>
        <v>39500000</v>
      </c>
      <c r="F18" s="7" t="str">
        <f aca="false">IF(D18,"Committed capital","Invested cost (step-down)")</f>
        <v>Invested cost (step-down)</v>
      </c>
      <c r="G18" s="22" t="n">
        <f aca="false">E18*Assumptions!$C$9/4</f>
        <v>197500</v>
      </c>
    </row>
    <row r="19" customFormat="false" ht="15" hidden="false" customHeight="true" outlineLevel="0" collapsed="false">
      <c r="B19" s="7" t="n">
        <v>16</v>
      </c>
      <c r="C19" s="9" t="str">
        <f aca="false">Quarters!$E$19</f>
        <v>Q4 2025</v>
      </c>
      <c r="D19" s="24" t="b">
        <f aca="false">Quarters!$G$19</f>
        <v>0</v>
      </c>
      <c r="E19" s="22" t="n">
        <f aca="false">IF(D19,Assumptions!$C$5,SUMIFS('Portfolio Marks'!$F:$F,'Portfolio Marks'!$D:$D,B19-1))</f>
        <v>39500000</v>
      </c>
      <c r="F19" s="7" t="str">
        <f aca="false">IF(D19,"Committed capital","Invested cost (step-down)")</f>
        <v>Invested cost (step-down)</v>
      </c>
      <c r="G19" s="22" t="n">
        <f aca="false">E19*Assumptions!$C$9/4</f>
        <v>197500</v>
      </c>
    </row>
    <row r="20" customFormat="false" ht="15" hidden="false" customHeight="true" outlineLevel="0" collapsed="false">
      <c r="B20" s="7" t="n">
        <v>17</v>
      </c>
      <c r="C20" s="9" t="str">
        <f aca="false">Quarters!$E$20</f>
        <v>Q1 2026</v>
      </c>
      <c r="D20" s="24" t="b">
        <f aca="false">Quarters!$G$20</f>
        <v>0</v>
      </c>
      <c r="E20" s="22" t="n">
        <f aca="false">IF(D20,Assumptions!$C$5,SUMIFS('Portfolio Marks'!$F:$F,'Portfolio Marks'!$D:$D,B20-1))</f>
        <v>34000000</v>
      </c>
      <c r="F20" s="7" t="str">
        <f aca="false">IF(D20,"Committed capital","Invested cost (step-down)")</f>
        <v>Invested cost (step-down)</v>
      </c>
      <c r="G20" s="22" t="n">
        <f aca="false">E20*Assumptions!$C$9/4</f>
        <v>170000</v>
      </c>
    </row>
    <row r="21" customFormat="false" ht="15" hidden="false" customHeight="true" outlineLevel="0" collapsed="false">
      <c r="B21" s="7" t="n">
        <v>18</v>
      </c>
      <c r="C21" s="9" t="str">
        <f aca="false">Quarters!$E$21</f>
        <v>Q2 2026</v>
      </c>
      <c r="D21" s="24" t="b">
        <f aca="false">Quarters!$G$21</f>
        <v>0</v>
      </c>
      <c r="E21" s="22" t="n">
        <f aca="false">IF(D21,Assumptions!$C$5,SUMIFS('Portfolio Marks'!$F:$F,'Portfolio Marks'!$D:$D,B21-1))</f>
        <v>34000000</v>
      </c>
      <c r="F21" s="7" t="str">
        <f aca="false">IF(D21,"Committed capital","Invested cost (step-down)")</f>
        <v>Invested cost (step-down)</v>
      </c>
      <c r="G21" s="22" t="n">
        <f aca="false">E21*Assumptions!$C$9/4</f>
        <v>170000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4" min="4" style="1" width="18"/>
    <col collapsed="false" customWidth="true" hidden="false" outlineLevel="0" max="6" min="5" style="1" width="16"/>
    <col collapsed="false" customWidth="true" hidden="false" outlineLevel="0" max="7" min="7" style="1" width="18"/>
  </cols>
  <sheetData>
    <row r="1" customFormat="false" ht="21.75" hidden="false" customHeight="true" outlineLevel="0" collapsed="false">
      <c r="A1" s="2" t="s">
        <v>23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190</v>
      </c>
      <c r="B2" s="3"/>
      <c r="C2" s="3"/>
      <c r="D2" s="3"/>
      <c r="E2" s="3"/>
      <c r="F2" s="3"/>
    </row>
    <row r="3" customFormat="false" ht="23.25" hidden="false" customHeight="true" outlineLevel="0" collapsed="false">
      <c r="B3" s="15" t="s">
        <v>175</v>
      </c>
      <c r="C3" s="15" t="s">
        <v>69</v>
      </c>
      <c r="D3" s="15" t="s">
        <v>191</v>
      </c>
      <c r="E3" s="15" t="s">
        <v>192</v>
      </c>
      <c r="F3" s="15" t="s">
        <v>193</v>
      </c>
      <c r="G3" s="15" t="s">
        <v>194</v>
      </c>
    </row>
    <row r="4" customFormat="false" ht="15" hidden="false" customHeight="true" outlineLevel="0" collapsed="false">
      <c r="B4" s="7" t="n">
        <v>1</v>
      </c>
      <c r="C4" s="9" t="str">
        <f aca="false">Quarters!$E$4</f>
        <v>Q1 2022</v>
      </c>
      <c r="D4" s="22" t="n">
        <f aca="false">SUMIFS('Portfolio Companies'!$G:$G,'Portfolio Companies'!$E:$E,B4)</f>
        <v>6000000</v>
      </c>
      <c r="E4" s="25" t="n">
        <f aca="false">'Mgmt Fee Schedule'!$G$4</f>
        <v>250000</v>
      </c>
      <c r="F4" s="22" t="n">
        <f aca="false">D4+E4</f>
        <v>6250000</v>
      </c>
      <c r="G4" s="22" t="n">
        <f aca="false">F4</f>
        <v>6250000</v>
      </c>
    </row>
    <row r="5" customFormat="false" ht="15" hidden="false" customHeight="true" outlineLevel="0" collapsed="false">
      <c r="B5" s="7" t="n">
        <v>2</v>
      </c>
      <c r="C5" s="9" t="str">
        <f aca="false">Quarters!$E$5</f>
        <v>Q2 2022</v>
      </c>
      <c r="D5" s="22" t="n">
        <f aca="false">SUMIFS('Portfolio Companies'!$G:$G,'Portfolio Companies'!$E:$E,B5)</f>
        <v>5500000</v>
      </c>
      <c r="E5" s="25" t="n">
        <f aca="false">'Mgmt Fee Schedule'!$G$5</f>
        <v>250000</v>
      </c>
      <c r="F5" s="22" t="n">
        <f aca="false">D5+E5</f>
        <v>5750000</v>
      </c>
      <c r="G5" s="22" t="n">
        <f aca="false">G4+F5</f>
        <v>12000000</v>
      </c>
    </row>
    <row r="6" customFormat="false" ht="15" hidden="false" customHeight="true" outlineLevel="0" collapsed="false">
      <c r="B6" s="7" t="n">
        <v>3</v>
      </c>
      <c r="C6" s="9" t="str">
        <f aca="false">Quarters!$E$6</f>
        <v>Q3 2022</v>
      </c>
      <c r="D6" s="22" t="n">
        <f aca="false">SUMIFS('Portfolio Companies'!$G:$G,'Portfolio Companies'!$E:$E,B6)</f>
        <v>4500000</v>
      </c>
      <c r="E6" s="25" t="n">
        <f aca="false">'Mgmt Fee Schedule'!$G$6</f>
        <v>250000</v>
      </c>
      <c r="F6" s="22" t="n">
        <f aca="false">D6+E6</f>
        <v>4750000</v>
      </c>
      <c r="G6" s="22" t="n">
        <f aca="false">G5+F6</f>
        <v>16750000</v>
      </c>
    </row>
    <row r="7" customFormat="false" ht="15" hidden="false" customHeight="true" outlineLevel="0" collapsed="false">
      <c r="B7" s="7" t="n">
        <v>4</v>
      </c>
      <c r="C7" s="9" t="str">
        <f aca="false">Quarters!$E$7</f>
        <v>Q4 2022</v>
      </c>
      <c r="D7" s="22" t="n">
        <f aca="false">SUMIFS('Portfolio Companies'!$G:$G,'Portfolio Companies'!$E:$E,B7)</f>
        <v>5000000</v>
      </c>
      <c r="E7" s="25" t="n">
        <f aca="false">'Mgmt Fee Schedule'!$G$7</f>
        <v>250000</v>
      </c>
      <c r="F7" s="22" t="n">
        <f aca="false">D7+E7</f>
        <v>5250000</v>
      </c>
      <c r="G7" s="22" t="n">
        <f aca="false">G6+F7</f>
        <v>22000000</v>
      </c>
    </row>
    <row r="8" customFormat="false" ht="15" hidden="false" customHeight="true" outlineLevel="0" collapsed="false">
      <c r="B8" s="7" t="n">
        <v>5</v>
      </c>
      <c r="C8" s="9" t="str">
        <f aca="false">Quarters!$E$8</f>
        <v>Q1 2023</v>
      </c>
      <c r="D8" s="22" t="n">
        <f aca="false">SUMIFS('Portfolio Companies'!$G:$G,'Portfolio Companies'!$E:$E,B8)</f>
        <v>4000000</v>
      </c>
      <c r="E8" s="25" t="n">
        <f aca="false">'Mgmt Fee Schedule'!$G$8</f>
        <v>250000</v>
      </c>
      <c r="F8" s="22" t="n">
        <f aca="false">D8+E8</f>
        <v>4250000</v>
      </c>
      <c r="G8" s="22" t="n">
        <f aca="false">G7+F8</f>
        <v>26250000</v>
      </c>
    </row>
    <row r="9" customFormat="false" ht="15" hidden="false" customHeight="true" outlineLevel="0" collapsed="false">
      <c r="B9" s="7" t="n">
        <v>6</v>
      </c>
      <c r="C9" s="9" t="str">
        <f aca="false">Quarters!$E$9</f>
        <v>Q2 2023</v>
      </c>
      <c r="D9" s="22" t="n">
        <f aca="false">SUMIFS('Portfolio Companies'!$G:$G,'Portfolio Companies'!$E:$E,B9)</f>
        <v>5000000</v>
      </c>
      <c r="E9" s="25" t="n">
        <f aca="false">'Mgmt Fee Schedule'!$G$9</f>
        <v>250000</v>
      </c>
      <c r="F9" s="22" t="n">
        <f aca="false">D9+E9</f>
        <v>5250000</v>
      </c>
      <c r="G9" s="22" t="n">
        <f aca="false">G8+F9</f>
        <v>31500000</v>
      </c>
    </row>
    <row r="10" customFormat="false" ht="15" hidden="false" customHeight="true" outlineLevel="0" collapsed="false">
      <c r="B10" s="7" t="n">
        <v>7</v>
      </c>
      <c r="C10" s="9" t="str">
        <f aca="false">Quarters!$E$10</f>
        <v>Q3 2023</v>
      </c>
      <c r="D10" s="22" t="n">
        <f aca="false">SUMIFS('Portfolio Companies'!$G:$G,'Portfolio Companies'!$E:$E,B10)</f>
        <v>4500000</v>
      </c>
      <c r="E10" s="25" t="n">
        <f aca="false">'Mgmt Fee Schedule'!$G$10</f>
        <v>250000</v>
      </c>
      <c r="F10" s="22" t="n">
        <f aca="false">D10+E10</f>
        <v>4750000</v>
      </c>
      <c r="G10" s="22" t="n">
        <f aca="false">G9+F10</f>
        <v>36250000</v>
      </c>
    </row>
    <row r="11" customFormat="false" ht="15" hidden="false" customHeight="true" outlineLevel="0" collapsed="false">
      <c r="B11" s="7" t="n">
        <v>8</v>
      </c>
      <c r="C11" s="9" t="str">
        <f aca="false">Quarters!$E$11</f>
        <v>Q4 2023</v>
      </c>
      <c r="D11" s="22" t="n">
        <f aca="false">SUMIFS('Portfolio Companies'!$G:$G,'Portfolio Companies'!$E:$E,B11)</f>
        <v>3500000</v>
      </c>
      <c r="E11" s="25" t="n">
        <f aca="false">'Mgmt Fee Schedule'!$G$11</f>
        <v>250000</v>
      </c>
      <c r="F11" s="22" t="n">
        <f aca="false">D11+E11</f>
        <v>3750000</v>
      </c>
      <c r="G11" s="22" t="n">
        <f aca="false">G10+F11</f>
        <v>40000000</v>
      </c>
    </row>
    <row r="12" customFormat="false" ht="15" hidden="false" customHeight="true" outlineLevel="0" collapsed="false">
      <c r="B12" s="7" t="n">
        <v>9</v>
      </c>
      <c r="C12" s="9" t="str">
        <f aca="false">Quarters!$E$12</f>
        <v>Q1 2024</v>
      </c>
      <c r="D12" s="22" t="n">
        <f aca="false">SUMIFS('Portfolio Companies'!$G:$G,'Portfolio Companies'!$E:$E,B12)</f>
        <v>4000000</v>
      </c>
      <c r="E12" s="25" t="n">
        <f aca="false">'Mgmt Fee Schedule'!$G$12</f>
        <v>250000</v>
      </c>
      <c r="F12" s="22" t="n">
        <f aca="false">D12+E12</f>
        <v>4250000</v>
      </c>
      <c r="G12" s="22" t="n">
        <f aca="false">G11+F12</f>
        <v>44250000</v>
      </c>
    </row>
    <row r="13" customFormat="false" ht="15" hidden="false" customHeight="true" outlineLevel="0" collapsed="false">
      <c r="B13" s="7" t="n">
        <v>10</v>
      </c>
      <c r="C13" s="9" t="str">
        <f aca="false">Quarters!$E$13</f>
        <v>Q2 2024</v>
      </c>
      <c r="D13" s="22" t="n">
        <f aca="false">SUMIFS('Portfolio Companies'!$G:$G,'Portfolio Companies'!$E:$E,B13)</f>
        <v>3500000</v>
      </c>
      <c r="E13" s="25" t="n">
        <f aca="false">'Mgmt Fee Schedule'!$G$13</f>
        <v>250000</v>
      </c>
      <c r="F13" s="22" t="n">
        <f aca="false">D13+E13</f>
        <v>3750000</v>
      </c>
      <c r="G13" s="22" t="n">
        <f aca="false">G12+F13</f>
        <v>48000000</v>
      </c>
    </row>
    <row r="14" customFormat="false" ht="15" hidden="false" customHeight="true" outlineLevel="0" collapsed="false">
      <c r="B14" s="7" t="n">
        <v>11</v>
      </c>
      <c r="C14" s="9" t="str">
        <f aca="false">Quarters!$E$14</f>
        <v>Q3 2024</v>
      </c>
      <c r="D14" s="22" t="n">
        <f aca="false">SUMIFS('Portfolio Companies'!$G:$G,'Portfolio Companies'!$E:$E,B14)</f>
        <v>0</v>
      </c>
      <c r="E14" s="25" t="n">
        <f aca="false">'Mgmt Fee Schedule'!$G$14</f>
        <v>250000</v>
      </c>
      <c r="F14" s="22" t="n">
        <f aca="false">D14+E14</f>
        <v>250000</v>
      </c>
      <c r="G14" s="22" t="n">
        <f aca="false">G13+F14</f>
        <v>48250000</v>
      </c>
    </row>
    <row r="15" customFormat="false" ht="15" hidden="false" customHeight="true" outlineLevel="0" collapsed="false">
      <c r="B15" s="7" t="n">
        <v>12</v>
      </c>
      <c r="C15" s="9" t="str">
        <f aca="false">Quarters!$E$15</f>
        <v>Q4 2024</v>
      </c>
      <c r="D15" s="22" t="n">
        <f aca="false">SUMIFS('Portfolio Companies'!$G:$G,'Portfolio Companies'!$E:$E,B15)</f>
        <v>0</v>
      </c>
      <c r="E15" s="25" t="n">
        <f aca="false">'Mgmt Fee Schedule'!$G$15</f>
        <v>250000</v>
      </c>
      <c r="F15" s="22" t="n">
        <f aca="false">D15+E15</f>
        <v>250000</v>
      </c>
      <c r="G15" s="22" t="n">
        <f aca="false">G14+F15</f>
        <v>48500000</v>
      </c>
    </row>
    <row r="16" customFormat="false" ht="15" hidden="false" customHeight="true" outlineLevel="0" collapsed="false">
      <c r="B16" s="7" t="n">
        <v>13</v>
      </c>
      <c r="C16" s="9" t="str">
        <f aca="false">Quarters!$E$16</f>
        <v>Q1 2025</v>
      </c>
      <c r="D16" s="22" t="n">
        <f aca="false">SUMIFS('Portfolio Companies'!$G:$G,'Portfolio Companies'!$E:$E,B16)</f>
        <v>0</v>
      </c>
      <c r="E16" s="25" t="n">
        <f aca="false">'Mgmt Fee Schedule'!$G$16</f>
        <v>227500</v>
      </c>
      <c r="F16" s="22" t="n">
        <f aca="false">D16+E16</f>
        <v>227500</v>
      </c>
      <c r="G16" s="22" t="n">
        <f aca="false">G15+F16</f>
        <v>48727500</v>
      </c>
    </row>
    <row r="17" customFormat="false" ht="15" hidden="false" customHeight="true" outlineLevel="0" collapsed="false">
      <c r="B17" s="7" t="n">
        <v>14</v>
      </c>
      <c r="C17" s="9" t="str">
        <f aca="false">Quarters!$E$17</f>
        <v>Q2 2025</v>
      </c>
      <c r="D17" s="22" t="n">
        <f aca="false">SUMIFS('Portfolio Companies'!$G:$G,'Portfolio Companies'!$E:$E,B17)</f>
        <v>0</v>
      </c>
      <c r="E17" s="25" t="n">
        <f aca="false">'Mgmt Fee Schedule'!$G$17</f>
        <v>227500</v>
      </c>
      <c r="F17" s="22" t="n">
        <f aca="false">D17+E17</f>
        <v>227500</v>
      </c>
      <c r="G17" s="22" t="n">
        <f aca="false">G16+F17</f>
        <v>48955000</v>
      </c>
    </row>
    <row r="18" customFormat="false" ht="15" hidden="false" customHeight="true" outlineLevel="0" collapsed="false">
      <c r="B18" s="7" t="n">
        <v>15</v>
      </c>
      <c r="C18" s="9" t="str">
        <f aca="false">Quarters!$E$18</f>
        <v>Q3 2025</v>
      </c>
      <c r="D18" s="22" t="n">
        <f aca="false">SUMIFS('Portfolio Companies'!$G:$G,'Portfolio Companies'!$E:$E,B18)</f>
        <v>0</v>
      </c>
      <c r="E18" s="25" t="n">
        <f aca="false">'Mgmt Fee Schedule'!$G$18</f>
        <v>197500</v>
      </c>
      <c r="F18" s="22" t="n">
        <f aca="false">D18+E18</f>
        <v>197500</v>
      </c>
      <c r="G18" s="22" t="n">
        <f aca="false">G17+F18</f>
        <v>49152500</v>
      </c>
    </row>
    <row r="19" customFormat="false" ht="15" hidden="false" customHeight="true" outlineLevel="0" collapsed="false">
      <c r="B19" s="7" t="n">
        <v>16</v>
      </c>
      <c r="C19" s="9" t="str">
        <f aca="false">Quarters!$E$19</f>
        <v>Q4 2025</v>
      </c>
      <c r="D19" s="22" t="n">
        <f aca="false">SUMIFS('Portfolio Companies'!$G:$G,'Portfolio Companies'!$E:$E,B19)</f>
        <v>0</v>
      </c>
      <c r="E19" s="25" t="n">
        <f aca="false">'Mgmt Fee Schedule'!$G$19</f>
        <v>197500</v>
      </c>
      <c r="F19" s="22" t="n">
        <f aca="false">D19+E19</f>
        <v>197500</v>
      </c>
      <c r="G19" s="22" t="n">
        <f aca="false">G18+F19</f>
        <v>49350000</v>
      </c>
    </row>
    <row r="20" customFormat="false" ht="15" hidden="false" customHeight="true" outlineLevel="0" collapsed="false">
      <c r="B20" s="7" t="n">
        <v>17</v>
      </c>
      <c r="C20" s="9" t="str">
        <f aca="false">Quarters!$E$20</f>
        <v>Q1 2026</v>
      </c>
      <c r="D20" s="22" t="n">
        <f aca="false">SUMIFS('Portfolio Companies'!$G:$G,'Portfolio Companies'!$E:$E,B20)</f>
        <v>0</v>
      </c>
      <c r="E20" s="25" t="n">
        <f aca="false">'Mgmt Fee Schedule'!$G$20</f>
        <v>170000</v>
      </c>
      <c r="F20" s="22" t="n">
        <f aca="false">D20+E20</f>
        <v>170000</v>
      </c>
      <c r="G20" s="22" t="n">
        <f aca="false">G19+F20</f>
        <v>49520000</v>
      </c>
    </row>
    <row r="21" customFormat="false" ht="15" hidden="false" customHeight="true" outlineLevel="0" collapsed="false">
      <c r="B21" s="7" t="n">
        <v>18</v>
      </c>
      <c r="C21" s="9" t="str">
        <f aca="false">Quarters!$E$21</f>
        <v>Q2 2026</v>
      </c>
      <c r="D21" s="22" t="n">
        <f aca="false">SUMIFS('Portfolio Companies'!$G:$G,'Portfolio Companies'!$E:$E,B21)</f>
        <v>0</v>
      </c>
      <c r="E21" s="25" t="n">
        <f aca="false">'Mgmt Fee Schedule'!$G$21</f>
        <v>170000</v>
      </c>
      <c r="F21" s="22" t="n">
        <f aca="false">D21+E21</f>
        <v>170000</v>
      </c>
      <c r="G21" s="22" t="n">
        <f aca="false">G20+F21</f>
        <v>49690000</v>
      </c>
    </row>
    <row r="22" customFormat="false" ht="15" hidden="false" customHeight="true" outlineLevel="0" collapsed="false">
      <c r="C22" s="4" t="s">
        <v>195</v>
      </c>
      <c r="F22" s="20" t="n">
        <f aca="false">SUM(F4:F21)</f>
        <v>49690000</v>
      </c>
      <c r="G22" s="20" t="n">
        <f aca="false">Assumptions!$C$5-G21</f>
        <v>310000</v>
      </c>
    </row>
    <row r="23" customFormat="false" ht="15" hidden="false" customHeight="true" outlineLevel="0" collapsed="false">
      <c r="C23" s="11" t="s">
        <v>196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4" min="4" style="1" width="15"/>
    <col collapsed="false" customWidth="true" hidden="false" outlineLevel="0" max="23" min="5" style="1" width="16"/>
  </cols>
  <sheetData>
    <row r="1" customFormat="false" ht="21.75" hidden="false" customHeight="true" outlineLevel="0" collapsed="false">
      <c r="A1" s="2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197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34.5" hidden="false" customHeight="true" outlineLevel="0" collapsed="false">
      <c r="B3" s="15" t="s">
        <v>175</v>
      </c>
      <c r="C3" s="15" t="s">
        <v>69</v>
      </c>
      <c r="D3" s="15" t="s">
        <v>198</v>
      </c>
      <c r="E3" s="15" t="s">
        <v>199</v>
      </c>
      <c r="F3" s="15" t="s">
        <v>200</v>
      </c>
      <c r="G3" s="15" t="s">
        <v>201</v>
      </c>
      <c r="H3" s="15" t="s">
        <v>202</v>
      </c>
      <c r="I3" s="15" t="s">
        <v>203</v>
      </c>
      <c r="J3" s="15" t="s">
        <v>204</v>
      </c>
      <c r="K3" s="15" t="s">
        <v>205</v>
      </c>
      <c r="L3" s="15" t="s">
        <v>206</v>
      </c>
      <c r="M3" s="15" t="s">
        <v>207</v>
      </c>
      <c r="N3" s="15" t="s">
        <v>208</v>
      </c>
      <c r="O3" s="15" t="s">
        <v>209</v>
      </c>
      <c r="P3" s="15" t="s">
        <v>210</v>
      </c>
      <c r="Q3" s="15" t="s">
        <v>211</v>
      </c>
      <c r="R3" s="15" t="s">
        <v>212</v>
      </c>
      <c r="S3" s="15" t="s">
        <v>213</v>
      </c>
      <c r="T3" s="15" t="s">
        <v>214</v>
      </c>
      <c r="U3" s="15" t="s">
        <v>215</v>
      </c>
      <c r="V3" s="15" t="s">
        <v>216</v>
      </c>
      <c r="W3" s="15" t="s">
        <v>217</v>
      </c>
    </row>
    <row r="4" customFormat="false" ht="15" hidden="false" customHeight="true" outlineLevel="0" collapsed="false">
      <c r="B4" s="7" t="n">
        <v>1</v>
      </c>
      <c r="C4" s="9" t="str">
        <f aca="false">Quarters!$E$4</f>
        <v>Q1 2022</v>
      </c>
      <c r="D4" s="22" t="n">
        <f aca="false">SUMIFS('Portfolio Marks'!$J:$J,'Portfolio Marks'!$D:$D,B4)</f>
        <v>0</v>
      </c>
      <c r="E4" s="22" t="s">
        <v>218</v>
      </c>
      <c r="F4" s="22" t="n">
        <f aca="false">E4+'Capital Call Schedule'!$F$4</f>
        <v>6250000</v>
      </c>
      <c r="G4" s="22" t="s">
        <v>218</v>
      </c>
      <c r="H4" s="22" t="n">
        <f aca="false">(E4-G4)*Assumptions!$C$11/4</f>
        <v>0</v>
      </c>
      <c r="I4" s="22" t="n">
        <f aca="false">H4</f>
        <v>0</v>
      </c>
      <c r="J4" s="22" t="s">
        <v>218</v>
      </c>
      <c r="K4" s="22" t="s">
        <v>218</v>
      </c>
      <c r="L4" s="22" t="n">
        <f aca="false">MIN(D4,MAX(F4-G4,0))</f>
        <v>0</v>
      </c>
      <c r="M4" s="22" t="n">
        <f aca="false">G4+L4</f>
        <v>0</v>
      </c>
      <c r="N4" s="22" t="n">
        <f aca="false">MIN(D4-L4,MAX(I4-J4,0))</f>
        <v>0</v>
      </c>
      <c r="O4" s="22" t="n">
        <f aca="false">J4+N4</f>
        <v>0</v>
      </c>
      <c r="P4" s="22" t="n">
        <f aca="false">(Assumptions!$C$13/(1-Assumptions!$C$13))*O4</f>
        <v>0</v>
      </c>
      <c r="Q4" s="22" t="n">
        <f aca="false">MIN(D4-L4-N4,MAX(P4-K4,0))</f>
        <v>0</v>
      </c>
      <c r="R4" s="22" t="n">
        <f aca="false">K4+Q4</f>
        <v>0</v>
      </c>
      <c r="S4" s="22" t="n">
        <f aca="false">D4-L4-N4-Q4</f>
        <v>0</v>
      </c>
      <c r="T4" s="22" t="n">
        <f aca="false">S4*(1-Assumptions!$C$13)</f>
        <v>0</v>
      </c>
      <c r="U4" s="22" t="n">
        <f aca="false">S4*Assumptions!$C$13</f>
        <v>0</v>
      </c>
      <c r="V4" s="26" t="n">
        <f aca="false">L4+N4+T4</f>
        <v>0</v>
      </c>
      <c r="W4" s="26" t="n">
        <f aca="false">Q4+U4</f>
        <v>0</v>
      </c>
    </row>
    <row r="5" customFormat="false" ht="15" hidden="false" customHeight="true" outlineLevel="0" collapsed="false">
      <c r="B5" s="7" t="n">
        <v>2</v>
      </c>
      <c r="C5" s="9" t="str">
        <f aca="false">Quarters!$E$5</f>
        <v>Q2 2022</v>
      </c>
      <c r="D5" s="22" t="n">
        <f aca="false">SUMIFS('Portfolio Marks'!$J:$J,'Portfolio Marks'!$D:$D,B5)</f>
        <v>0</v>
      </c>
      <c r="E5" s="22" t="n">
        <f aca="false">F4</f>
        <v>6250000</v>
      </c>
      <c r="F5" s="22" t="n">
        <f aca="false">E5+'Capital Call Schedule'!$F$5</f>
        <v>12000000</v>
      </c>
      <c r="G5" s="22" t="n">
        <f aca="false">M4</f>
        <v>0</v>
      </c>
      <c r="H5" s="22" t="n">
        <f aca="false">(E5-G5)*Assumptions!$C$11/4</f>
        <v>125000</v>
      </c>
      <c r="I5" s="22" t="n">
        <f aca="false">I4+H5</f>
        <v>125000</v>
      </c>
      <c r="J5" s="22" t="n">
        <f aca="false">O4</f>
        <v>0</v>
      </c>
      <c r="K5" s="22" t="n">
        <f aca="false">R4</f>
        <v>0</v>
      </c>
      <c r="L5" s="22" t="n">
        <f aca="false">MIN(D5,MAX(F5-G5,0))</f>
        <v>0</v>
      </c>
      <c r="M5" s="22" t="n">
        <f aca="false">G5+L5</f>
        <v>0</v>
      </c>
      <c r="N5" s="22" t="n">
        <f aca="false">MIN(D5-L5,MAX(I5-J5,0))</f>
        <v>0</v>
      </c>
      <c r="O5" s="22" t="n">
        <f aca="false">J5+N5</f>
        <v>0</v>
      </c>
      <c r="P5" s="22" t="n">
        <f aca="false">(Assumptions!$C$13/(1-Assumptions!$C$13))*O5</f>
        <v>0</v>
      </c>
      <c r="Q5" s="22" t="n">
        <f aca="false">MIN(D5-L5-N5,MAX(P5-K5,0))</f>
        <v>0</v>
      </c>
      <c r="R5" s="22" t="n">
        <f aca="false">K5+Q5</f>
        <v>0</v>
      </c>
      <c r="S5" s="22" t="n">
        <f aca="false">D5-L5-N5-Q5</f>
        <v>0</v>
      </c>
      <c r="T5" s="22" t="n">
        <f aca="false">S5*(1-Assumptions!$C$13)</f>
        <v>0</v>
      </c>
      <c r="U5" s="22" t="n">
        <f aca="false">S5*Assumptions!$C$13</f>
        <v>0</v>
      </c>
      <c r="V5" s="26" t="n">
        <f aca="false">L5+N5+T5</f>
        <v>0</v>
      </c>
      <c r="W5" s="26" t="n">
        <f aca="false">Q5+U5</f>
        <v>0</v>
      </c>
    </row>
    <row r="6" customFormat="false" ht="15" hidden="false" customHeight="true" outlineLevel="0" collapsed="false">
      <c r="B6" s="7" t="n">
        <v>3</v>
      </c>
      <c r="C6" s="9" t="str">
        <f aca="false">Quarters!$E$6</f>
        <v>Q3 2022</v>
      </c>
      <c r="D6" s="22" t="n">
        <f aca="false">SUMIFS('Portfolio Marks'!$J:$J,'Portfolio Marks'!$D:$D,B6)</f>
        <v>0</v>
      </c>
      <c r="E6" s="22" t="n">
        <f aca="false">F5</f>
        <v>12000000</v>
      </c>
      <c r="F6" s="22" t="n">
        <f aca="false">E6+'Capital Call Schedule'!$F$6</f>
        <v>16750000</v>
      </c>
      <c r="G6" s="22" t="n">
        <f aca="false">M5</f>
        <v>0</v>
      </c>
      <c r="H6" s="22" t="n">
        <f aca="false">(E6-G6)*Assumptions!$C$11/4</f>
        <v>240000</v>
      </c>
      <c r="I6" s="22" t="n">
        <f aca="false">I5+H6</f>
        <v>365000</v>
      </c>
      <c r="J6" s="22" t="n">
        <f aca="false">O5</f>
        <v>0</v>
      </c>
      <c r="K6" s="22" t="n">
        <f aca="false">R5</f>
        <v>0</v>
      </c>
      <c r="L6" s="22" t="n">
        <f aca="false">MIN(D6,MAX(F6-G6,0))</f>
        <v>0</v>
      </c>
      <c r="M6" s="22" t="n">
        <f aca="false">G6+L6</f>
        <v>0</v>
      </c>
      <c r="N6" s="22" t="n">
        <f aca="false">MIN(D6-L6,MAX(I6-J6,0))</f>
        <v>0</v>
      </c>
      <c r="O6" s="22" t="n">
        <f aca="false">J6+N6</f>
        <v>0</v>
      </c>
      <c r="P6" s="22" t="n">
        <f aca="false">(Assumptions!$C$13/(1-Assumptions!$C$13))*O6</f>
        <v>0</v>
      </c>
      <c r="Q6" s="22" t="n">
        <f aca="false">MIN(D6-L6-N6,MAX(P6-K6,0))</f>
        <v>0</v>
      </c>
      <c r="R6" s="22" t="n">
        <f aca="false">K6+Q6</f>
        <v>0</v>
      </c>
      <c r="S6" s="22" t="n">
        <f aca="false">D6-L6-N6-Q6</f>
        <v>0</v>
      </c>
      <c r="T6" s="22" t="n">
        <f aca="false">S6*(1-Assumptions!$C$13)</f>
        <v>0</v>
      </c>
      <c r="U6" s="22" t="n">
        <f aca="false">S6*Assumptions!$C$13</f>
        <v>0</v>
      </c>
      <c r="V6" s="26" t="n">
        <f aca="false">L6+N6+T6</f>
        <v>0</v>
      </c>
      <c r="W6" s="26" t="n">
        <f aca="false">Q6+U6</f>
        <v>0</v>
      </c>
    </row>
    <row r="7" customFormat="false" ht="15" hidden="false" customHeight="true" outlineLevel="0" collapsed="false">
      <c r="B7" s="7" t="n">
        <v>4</v>
      </c>
      <c r="C7" s="9" t="str">
        <f aca="false">Quarters!$E$7</f>
        <v>Q4 2022</v>
      </c>
      <c r="D7" s="22" t="n">
        <f aca="false">SUMIFS('Portfolio Marks'!$J:$J,'Portfolio Marks'!$D:$D,B7)</f>
        <v>0</v>
      </c>
      <c r="E7" s="22" t="n">
        <f aca="false">F6</f>
        <v>16750000</v>
      </c>
      <c r="F7" s="22" t="n">
        <f aca="false">E7+'Capital Call Schedule'!$F$7</f>
        <v>22000000</v>
      </c>
      <c r="G7" s="22" t="n">
        <f aca="false">M6</f>
        <v>0</v>
      </c>
      <c r="H7" s="22" t="n">
        <f aca="false">(E7-G7)*Assumptions!$C$11/4</f>
        <v>335000</v>
      </c>
      <c r="I7" s="22" t="n">
        <f aca="false">I6+H7</f>
        <v>700000</v>
      </c>
      <c r="J7" s="22" t="n">
        <f aca="false">O6</f>
        <v>0</v>
      </c>
      <c r="K7" s="22" t="n">
        <f aca="false">R6</f>
        <v>0</v>
      </c>
      <c r="L7" s="22" t="n">
        <f aca="false">MIN(D7,MAX(F7-G7,0))</f>
        <v>0</v>
      </c>
      <c r="M7" s="22" t="n">
        <f aca="false">G7+L7</f>
        <v>0</v>
      </c>
      <c r="N7" s="22" t="n">
        <f aca="false">MIN(D7-L7,MAX(I7-J7,0))</f>
        <v>0</v>
      </c>
      <c r="O7" s="22" t="n">
        <f aca="false">J7+N7</f>
        <v>0</v>
      </c>
      <c r="P7" s="22" t="n">
        <f aca="false">(Assumptions!$C$13/(1-Assumptions!$C$13))*O7</f>
        <v>0</v>
      </c>
      <c r="Q7" s="22" t="n">
        <f aca="false">MIN(D7-L7-N7,MAX(P7-K7,0))</f>
        <v>0</v>
      </c>
      <c r="R7" s="22" t="n">
        <f aca="false">K7+Q7</f>
        <v>0</v>
      </c>
      <c r="S7" s="22" t="n">
        <f aca="false">D7-L7-N7-Q7</f>
        <v>0</v>
      </c>
      <c r="T7" s="22" t="n">
        <f aca="false">S7*(1-Assumptions!$C$13)</f>
        <v>0</v>
      </c>
      <c r="U7" s="22" t="n">
        <f aca="false">S7*Assumptions!$C$13</f>
        <v>0</v>
      </c>
      <c r="V7" s="26" t="n">
        <f aca="false">L7+N7+T7</f>
        <v>0</v>
      </c>
      <c r="W7" s="26" t="n">
        <f aca="false">Q7+U7</f>
        <v>0</v>
      </c>
    </row>
    <row r="8" customFormat="false" ht="15" hidden="false" customHeight="true" outlineLevel="0" collapsed="false">
      <c r="B8" s="7" t="n">
        <v>5</v>
      </c>
      <c r="C8" s="9" t="str">
        <f aca="false">Quarters!$E$8</f>
        <v>Q1 2023</v>
      </c>
      <c r="D8" s="22" t="n">
        <f aca="false">SUMIFS('Portfolio Marks'!$J:$J,'Portfolio Marks'!$D:$D,B8)</f>
        <v>0</v>
      </c>
      <c r="E8" s="22" t="n">
        <f aca="false">F7</f>
        <v>22000000</v>
      </c>
      <c r="F8" s="22" t="n">
        <f aca="false">E8+'Capital Call Schedule'!$F$8</f>
        <v>26250000</v>
      </c>
      <c r="G8" s="22" t="n">
        <f aca="false">M7</f>
        <v>0</v>
      </c>
      <c r="H8" s="22" t="n">
        <f aca="false">(E8-G8)*Assumptions!$C$11/4</f>
        <v>440000</v>
      </c>
      <c r="I8" s="22" t="n">
        <f aca="false">I7+H8</f>
        <v>1140000</v>
      </c>
      <c r="J8" s="22" t="n">
        <f aca="false">O7</f>
        <v>0</v>
      </c>
      <c r="K8" s="22" t="n">
        <f aca="false">R7</f>
        <v>0</v>
      </c>
      <c r="L8" s="22" t="n">
        <f aca="false">MIN(D8,MAX(F8-G8,0))</f>
        <v>0</v>
      </c>
      <c r="M8" s="22" t="n">
        <f aca="false">G8+L8</f>
        <v>0</v>
      </c>
      <c r="N8" s="22" t="n">
        <f aca="false">MIN(D8-L8,MAX(I8-J8,0))</f>
        <v>0</v>
      </c>
      <c r="O8" s="22" t="n">
        <f aca="false">J8+N8</f>
        <v>0</v>
      </c>
      <c r="P8" s="22" t="n">
        <f aca="false">(Assumptions!$C$13/(1-Assumptions!$C$13))*O8</f>
        <v>0</v>
      </c>
      <c r="Q8" s="22" t="n">
        <f aca="false">MIN(D8-L8-N8,MAX(P8-K8,0))</f>
        <v>0</v>
      </c>
      <c r="R8" s="22" t="n">
        <f aca="false">K8+Q8</f>
        <v>0</v>
      </c>
      <c r="S8" s="22" t="n">
        <f aca="false">D8-L8-N8-Q8</f>
        <v>0</v>
      </c>
      <c r="T8" s="22" t="n">
        <f aca="false">S8*(1-Assumptions!$C$13)</f>
        <v>0</v>
      </c>
      <c r="U8" s="22" t="n">
        <f aca="false">S8*Assumptions!$C$13</f>
        <v>0</v>
      </c>
      <c r="V8" s="26" t="n">
        <f aca="false">L8+N8+T8</f>
        <v>0</v>
      </c>
      <c r="W8" s="26" t="n">
        <f aca="false">Q8+U8</f>
        <v>0</v>
      </c>
    </row>
    <row r="9" customFormat="false" ht="15" hidden="false" customHeight="true" outlineLevel="0" collapsed="false">
      <c r="B9" s="7" t="n">
        <v>6</v>
      </c>
      <c r="C9" s="9" t="str">
        <f aca="false">Quarters!$E$9</f>
        <v>Q2 2023</v>
      </c>
      <c r="D9" s="22" t="n">
        <f aca="false">SUMIFS('Portfolio Marks'!$J:$J,'Portfolio Marks'!$D:$D,B9)</f>
        <v>0</v>
      </c>
      <c r="E9" s="22" t="n">
        <f aca="false">F8</f>
        <v>26250000</v>
      </c>
      <c r="F9" s="22" t="n">
        <f aca="false">E9+'Capital Call Schedule'!$F$9</f>
        <v>31500000</v>
      </c>
      <c r="G9" s="22" t="n">
        <f aca="false">M8</f>
        <v>0</v>
      </c>
      <c r="H9" s="22" t="n">
        <f aca="false">(E9-G9)*Assumptions!$C$11/4</f>
        <v>525000</v>
      </c>
      <c r="I9" s="22" t="n">
        <f aca="false">I8+H9</f>
        <v>1665000</v>
      </c>
      <c r="J9" s="22" t="n">
        <f aca="false">O8</f>
        <v>0</v>
      </c>
      <c r="K9" s="22" t="n">
        <f aca="false">R8</f>
        <v>0</v>
      </c>
      <c r="L9" s="22" t="n">
        <f aca="false">MIN(D9,MAX(F9-G9,0))</f>
        <v>0</v>
      </c>
      <c r="M9" s="22" t="n">
        <f aca="false">G9+L9</f>
        <v>0</v>
      </c>
      <c r="N9" s="22" t="n">
        <f aca="false">MIN(D9-L9,MAX(I9-J9,0))</f>
        <v>0</v>
      </c>
      <c r="O9" s="22" t="n">
        <f aca="false">J9+N9</f>
        <v>0</v>
      </c>
      <c r="P9" s="22" t="n">
        <f aca="false">(Assumptions!$C$13/(1-Assumptions!$C$13))*O9</f>
        <v>0</v>
      </c>
      <c r="Q9" s="22" t="n">
        <f aca="false">MIN(D9-L9-N9,MAX(P9-K9,0))</f>
        <v>0</v>
      </c>
      <c r="R9" s="22" t="n">
        <f aca="false">K9+Q9</f>
        <v>0</v>
      </c>
      <c r="S9" s="22" t="n">
        <f aca="false">D9-L9-N9-Q9</f>
        <v>0</v>
      </c>
      <c r="T9" s="22" t="n">
        <f aca="false">S9*(1-Assumptions!$C$13)</f>
        <v>0</v>
      </c>
      <c r="U9" s="22" t="n">
        <f aca="false">S9*Assumptions!$C$13</f>
        <v>0</v>
      </c>
      <c r="V9" s="26" t="n">
        <f aca="false">L9+N9+T9</f>
        <v>0</v>
      </c>
      <c r="W9" s="26" t="n">
        <f aca="false">Q9+U9</f>
        <v>0</v>
      </c>
    </row>
    <row r="10" customFormat="false" ht="15" hidden="false" customHeight="true" outlineLevel="0" collapsed="false">
      <c r="B10" s="7" t="n">
        <v>7</v>
      </c>
      <c r="C10" s="9" t="str">
        <f aca="false">Quarters!$E$10</f>
        <v>Q3 2023</v>
      </c>
      <c r="D10" s="22" t="n">
        <f aca="false">SUMIFS('Portfolio Marks'!$J:$J,'Portfolio Marks'!$D:$D,B10)</f>
        <v>0</v>
      </c>
      <c r="E10" s="22" t="n">
        <f aca="false">F9</f>
        <v>31500000</v>
      </c>
      <c r="F10" s="22" t="n">
        <f aca="false">E10+'Capital Call Schedule'!$F$10</f>
        <v>36250000</v>
      </c>
      <c r="G10" s="22" t="n">
        <f aca="false">M9</f>
        <v>0</v>
      </c>
      <c r="H10" s="22" t="n">
        <f aca="false">(E10-G10)*Assumptions!$C$11/4</f>
        <v>630000</v>
      </c>
      <c r="I10" s="22" t="n">
        <f aca="false">I9+H10</f>
        <v>2295000</v>
      </c>
      <c r="J10" s="22" t="n">
        <f aca="false">O9</f>
        <v>0</v>
      </c>
      <c r="K10" s="22" t="n">
        <f aca="false">R9</f>
        <v>0</v>
      </c>
      <c r="L10" s="22" t="n">
        <f aca="false">MIN(D10,MAX(F10-G10,0))</f>
        <v>0</v>
      </c>
      <c r="M10" s="22" t="n">
        <f aca="false">G10+L10</f>
        <v>0</v>
      </c>
      <c r="N10" s="22" t="n">
        <f aca="false">MIN(D10-L10,MAX(I10-J10,0))</f>
        <v>0</v>
      </c>
      <c r="O10" s="22" t="n">
        <f aca="false">J10+N10</f>
        <v>0</v>
      </c>
      <c r="P10" s="22" t="n">
        <f aca="false">(Assumptions!$C$13/(1-Assumptions!$C$13))*O10</f>
        <v>0</v>
      </c>
      <c r="Q10" s="22" t="n">
        <f aca="false">MIN(D10-L10-N10,MAX(P10-K10,0))</f>
        <v>0</v>
      </c>
      <c r="R10" s="22" t="n">
        <f aca="false">K10+Q10</f>
        <v>0</v>
      </c>
      <c r="S10" s="22" t="n">
        <f aca="false">D10-L10-N10-Q10</f>
        <v>0</v>
      </c>
      <c r="T10" s="22" t="n">
        <f aca="false">S10*(1-Assumptions!$C$13)</f>
        <v>0</v>
      </c>
      <c r="U10" s="22" t="n">
        <f aca="false">S10*Assumptions!$C$13</f>
        <v>0</v>
      </c>
      <c r="V10" s="26" t="n">
        <f aca="false">L10+N10+T10</f>
        <v>0</v>
      </c>
      <c r="W10" s="26" t="n">
        <f aca="false">Q10+U10</f>
        <v>0</v>
      </c>
    </row>
    <row r="11" customFormat="false" ht="15" hidden="false" customHeight="true" outlineLevel="0" collapsed="false">
      <c r="B11" s="7" t="n">
        <v>8</v>
      </c>
      <c r="C11" s="9" t="str">
        <f aca="false">Quarters!$E$11</f>
        <v>Q4 2023</v>
      </c>
      <c r="D11" s="22" t="n">
        <f aca="false">SUMIFS('Portfolio Marks'!$J:$J,'Portfolio Marks'!$D:$D,B11)</f>
        <v>0</v>
      </c>
      <c r="E11" s="22" t="n">
        <f aca="false">F10</f>
        <v>36250000</v>
      </c>
      <c r="F11" s="22" t="n">
        <f aca="false">E11+'Capital Call Schedule'!$F$11</f>
        <v>40000000</v>
      </c>
      <c r="G11" s="22" t="n">
        <f aca="false">M10</f>
        <v>0</v>
      </c>
      <c r="H11" s="22" t="n">
        <f aca="false">(E11-G11)*Assumptions!$C$11/4</f>
        <v>725000</v>
      </c>
      <c r="I11" s="22" t="n">
        <f aca="false">I10+H11</f>
        <v>3020000</v>
      </c>
      <c r="J11" s="22" t="n">
        <f aca="false">O10</f>
        <v>0</v>
      </c>
      <c r="K11" s="22" t="n">
        <f aca="false">R10</f>
        <v>0</v>
      </c>
      <c r="L11" s="22" t="n">
        <f aca="false">MIN(D11,MAX(F11-G11,0))</f>
        <v>0</v>
      </c>
      <c r="M11" s="22" t="n">
        <f aca="false">G11+L11</f>
        <v>0</v>
      </c>
      <c r="N11" s="22" t="n">
        <f aca="false">MIN(D11-L11,MAX(I11-J11,0))</f>
        <v>0</v>
      </c>
      <c r="O11" s="22" t="n">
        <f aca="false">J11+N11</f>
        <v>0</v>
      </c>
      <c r="P11" s="22" t="n">
        <f aca="false">(Assumptions!$C$13/(1-Assumptions!$C$13))*O11</f>
        <v>0</v>
      </c>
      <c r="Q11" s="22" t="n">
        <f aca="false">MIN(D11-L11-N11,MAX(P11-K11,0))</f>
        <v>0</v>
      </c>
      <c r="R11" s="22" t="n">
        <f aca="false">K11+Q11</f>
        <v>0</v>
      </c>
      <c r="S11" s="22" t="n">
        <f aca="false">D11-L11-N11-Q11</f>
        <v>0</v>
      </c>
      <c r="T11" s="22" t="n">
        <f aca="false">S11*(1-Assumptions!$C$13)</f>
        <v>0</v>
      </c>
      <c r="U11" s="22" t="n">
        <f aca="false">S11*Assumptions!$C$13</f>
        <v>0</v>
      </c>
      <c r="V11" s="26" t="n">
        <f aca="false">L11+N11+T11</f>
        <v>0</v>
      </c>
      <c r="W11" s="26" t="n">
        <f aca="false">Q11+U11</f>
        <v>0</v>
      </c>
    </row>
    <row r="12" customFormat="false" ht="15" hidden="false" customHeight="true" outlineLevel="0" collapsed="false">
      <c r="B12" s="7" t="n">
        <v>9</v>
      </c>
      <c r="C12" s="9" t="str">
        <f aca="false">Quarters!$E$12</f>
        <v>Q1 2024</v>
      </c>
      <c r="D12" s="22" t="n">
        <f aca="false">SUMIFS('Portfolio Marks'!$J:$J,'Portfolio Marks'!$D:$D,B12)</f>
        <v>0</v>
      </c>
      <c r="E12" s="22" t="n">
        <f aca="false">F11</f>
        <v>40000000</v>
      </c>
      <c r="F12" s="22" t="n">
        <f aca="false">E12+'Capital Call Schedule'!$F$12</f>
        <v>44250000</v>
      </c>
      <c r="G12" s="22" t="n">
        <f aca="false">M11</f>
        <v>0</v>
      </c>
      <c r="H12" s="22" t="n">
        <f aca="false">(E12-G12)*Assumptions!$C$11/4</f>
        <v>800000</v>
      </c>
      <c r="I12" s="22" t="n">
        <f aca="false">I11+H12</f>
        <v>3820000</v>
      </c>
      <c r="J12" s="22" t="n">
        <f aca="false">O11</f>
        <v>0</v>
      </c>
      <c r="K12" s="22" t="n">
        <f aca="false">R11</f>
        <v>0</v>
      </c>
      <c r="L12" s="22" t="n">
        <f aca="false">MIN(D12,MAX(F12-G12,0))</f>
        <v>0</v>
      </c>
      <c r="M12" s="22" t="n">
        <f aca="false">G12+L12</f>
        <v>0</v>
      </c>
      <c r="N12" s="22" t="n">
        <f aca="false">MIN(D12-L12,MAX(I12-J12,0))</f>
        <v>0</v>
      </c>
      <c r="O12" s="22" t="n">
        <f aca="false">J12+N12</f>
        <v>0</v>
      </c>
      <c r="P12" s="22" t="n">
        <f aca="false">(Assumptions!$C$13/(1-Assumptions!$C$13))*O12</f>
        <v>0</v>
      </c>
      <c r="Q12" s="22" t="n">
        <f aca="false">MIN(D12-L12-N12,MAX(P12-K12,0))</f>
        <v>0</v>
      </c>
      <c r="R12" s="22" t="n">
        <f aca="false">K12+Q12</f>
        <v>0</v>
      </c>
      <c r="S12" s="22" t="n">
        <f aca="false">D12-L12-N12-Q12</f>
        <v>0</v>
      </c>
      <c r="T12" s="22" t="n">
        <f aca="false">S12*(1-Assumptions!$C$13)</f>
        <v>0</v>
      </c>
      <c r="U12" s="22" t="n">
        <f aca="false">S12*Assumptions!$C$13</f>
        <v>0</v>
      </c>
      <c r="V12" s="26" t="n">
        <f aca="false">L12+N12+T12</f>
        <v>0</v>
      </c>
      <c r="W12" s="26" t="n">
        <f aca="false">Q12+U12</f>
        <v>0</v>
      </c>
    </row>
    <row r="13" customFormat="false" ht="15" hidden="false" customHeight="true" outlineLevel="0" collapsed="false">
      <c r="B13" s="7" t="n">
        <v>10</v>
      </c>
      <c r="C13" s="9" t="str">
        <f aca="false">Quarters!$E$13</f>
        <v>Q2 2024</v>
      </c>
      <c r="D13" s="22" t="n">
        <f aca="false">SUMIFS('Portfolio Marks'!$J:$J,'Portfolio Marks'!$D:$D,B13)</f>
        <v>0</v>
      </c>
      <c r="E13" s="22" t="n">
        <f aca="false">F12</f>
        <v>44250000</v>
      </c>
      <c r="F13" s="22" t="n">
        <f aca="false">E13+'Capital Call Schedule'!$F$13</f>
        <v>48000000</v>
      </c>
      <c r="G13" s="22" t="n">
        <f aca="false">M12</f>
        <v>0</v>
      </c>
      <c r="H13" s="22" t="n">
        <f aca="false">(E13-G13)*Assumptions!$C$11/4</f>
        <v>885000</v>
      </c>
      <c r="I13" s="22" t="n">
        <f aca="false">I12+H13</f>
        <v>4705000</v>
      </c>
      <c r="J13" s="22" t="n">
        <f aca="false">O12</f>
        <v>0</v>
      </c>
      <c r="K13" s="22" t="n">
        <f aca="false">R12</f>
        <v>0</v>
      </c>
      <c r="L13" s="22" t="n">
        <f aca="false">MIN(D13,MAX(F13-G13,0))</f>
        <v>0</v>
      </c>
      <c r="M13" s="22" t="n">
        <f aca="false">G13+L13</f>
        <v>0</v>
      </c>
      <c r="N13" s="22" t="n">
        <f aca="false">MIN(D13-L13,MAX(I13-J13,0))</f>
        <v>0</v>
      </c>
      <c r="O13" s="22" t="n">
        <f aca="false">J13+N13</f>
        <v>0</v>
      </c>
      <c r="P13" s="22" t="n">
        <f aca="false">(Assumptions!$C$13/(1-Assumptions!$C$13))*O13</f>
        <v>0</v>
      </c>
      <c r="Q13" s="22" t="n">
        <f aca="false">MIN(D13-L13-N13,MAX(P13-K13,0))</f>
        <v>0</v>
      </c>
      <c r="R13" s="22" t="n">
        <f aca="false">K13+Q13</f>
        <v>0</v>
      </c>
      <c r="S13" s="22" t="n">
        <f aca="false">D13-L13-N13-Q13</f>
        <v>0</v>
      </c>
      <c r="T13" s="22" t="n">
        <f aca="false">S13*(1-Assumptions!$C$13)</f>
        <v>0</v>
      </c>
      <c r="U13" s="22" t="n">
        <f aca="false">S13*Assumptions!$C$13</f>
        <v>0</v>
      </c>
      <c r="V13" s="26" t="n">
        <f aca="false">L13+N13+T13</f>
        <v>0</v>
      </c>
      <c r="W13" s="26" t="n">
        <f aca="false">Q13+U13</f>
        <v>0</v>
      </c>
    </row>
    <row r="14" customFormat="false" ht="15" hidden="false" customHeight="true" outlineLevel="0" collapsed="false">
      <c r="B14" s="7" t="n">
        <v>11</v>
      </c>
      <c r="C14" s="9" t="str">
        <f aca="false">Quarters!$E$14</f>
        <v>Q3 2024</v>
      </c>
      <c r="D14" s="22" t="n">
        <f aca="false">SUMIFS('Portfolio Marks'!$J:$J,'Portfolio Marks'!$D:$D,B14)</f>
        <v>0</v>
      </c>
      <c r="E14" s="22" t="n">
        <f aca="false">F13</f>
        <v>48000000</v>
      </c>
      <c r="F14" s="22" t="n">
        <f aca="false">E14+'Capital Call Schedule'!$F$14</f>
        <v>48250000</v>
      </c>
      <c r="G14" s="22" t="n">
        <f aca="false">M13</f>
        <v>0</v>
      </c>
      <c r="H14" s="22" t="n">
        <f aca="false">(E14-G14)*Assumptions!$C$11/4</f>
        <v>960000</v>
      </c>
      <c r="I14" s="22" t="n">
        <f aca="false">I13+H14</f>
        <v>5665000</v>
      </c>
      <c r="J14" s="22" t="n">
        <f aca="false">O13</f>
        <v>0</v>
      </c>
      <c r="K14" s="22" t="n">
        <f aca="false">R13</f>
        <v>0</v>
      </c>
      <c r="L14" s="22" t="n">
        <f aca="false">MIN(D14,MAX(F14-G14,0))</f>
        <v>0</v>
      </c>
      <c r="M14" s="22" t="n">
        <f aca="false">G14+L14</f>
        <v>0</v>
      </c>
      <c r="N14" s="22" t="n">
        <f aca="false">MIN(D14-L14,MAX(I14-J14,0))</f>
        <v>0</v>
      </c>
      <c r="O14" s="22" t="n">
        <f aca="false">J14+N14</f>
        <v>0</v>
      </c>
      <c r="P14" s="22" t="n">
        <f aca="false">(Assumptions!$C$13/(1-Assumptions!$C$13))*O14</f>
        <v>0</v>
      </c>
      <c r="Q14" s="22" t="n">
        <f aca="false">MIN(D14-L14-N14,MAX(P14-K14,0))</f>
        <v>0</v>
      </c>
      <c r="R14" s="22" t="n">
        <f aca="false">K14+Q14</f>
        <v>0</v>
      </c>
      <c r="S14" s="22" t="n">
        <f aca="false">D14-L14-N14-Q14</f>
        <v>0</v>
      </c>
      <c r="T14" s="22" t="n">
        <f aca="false">S14*(1-Assumptions!$C$13)</f>
        <v>0</v>
      </c>
      <c r="U14" s="22" t="n">
        <f aca="false">S14*Assumptions!$C$13</f>
        <v>0</v>
      </c>
      <c r="V14" s="26" t="n">
        <f aca="false">L14+N14+T14</f>
        <v>0</v>
      </c>
      <c r="W14" s="26" t="n">
        <f aca="false">Q14+U14</f>
        <v>0</v>
      </c>
    </row>
    <row r="15" customFormat="false" ht="15" hidden="false" customHeight="true" outlineLevel="0" collapsed="false">
      <c r="B15" s="7" t="n">
        <v>12</v>
      </c>
      <c r="C15" s="9" t="str">
        <f aca="false">Quarters!$E$15</f>
        <v>Q4 2024</v>
      </c>
      <c r="D15" s="22" t="n">
        <f aca="false">SUMIFS('Portfolio Marks'!$J:$J,'Portfolio Marks'!$D:$D,B15)</f>
        <v>0</v>
      </c>
      <c r="E15" s="22" t="n">
        <f aca="false">F14</f>
        <v>48250000</v>
      </c>
      <c r="F15" s="22" t="n">
        <f aca="false">E15+'Capital Call Schedule'!$F$15</f>
        <v>48500000</v>
      </c>
      <c r="G15" s="22" t="n">
        <f aca="false">M14</f>
        <v>0</v>
      </c>
      <c r="H15" s="22" t="n">
        <f aca="false">(E15-G15)*Assumptions!$C$11/4</f>
        <v>965000</v>
      </c>
      <c r="I15" s="22" t="n">
        <f aca="false">I14+H15</f>
        <v>6630000</v>
      </c>
      <c r="J15" s="22" t="n">
        <f aca="false">O14</f>
        <v>0</v>
      </c>
      <c r="K15" s="22" t="n">
        <f aca="false">R14</f>
        <v>0</v>
      </c>
      <c r="L15" s="22" t="n">
        <f aca="false">MIN(D15,MAX(F15-G15,0))</f>
        <v>0</v>
      </c>
      <c r="M15" s="22" t="n">
        <f aca="false">G15+L15</f>
        <v>0</v>
      </c>
      <c r="N15" s="22" t="n">
        <f aca="false">MIN(D15-L15,MAX(I15-J15,0))</f>
        <v>0</v>
      </c>
      <c r="O15" s="22" t="n">
        <f aca="false">J15+N15</f>
        <v>0</v>
      </c>
      <c r="P15" s="22" t="n">
        <f aca="false">(Assumptions!$C$13/(1-Assumptions!$C$13))*O15</f>
        <v>0</v>
      </c>
      <c r="Q15" s="22" t="n">
        <f aca="false">MIN(D15-L15-N15,MAX(P15-K15,0))</f>
        <v>0</v>
      </c>
      <c r="R15" s="22" t="n">
        <f aca="false">K15+Q15</f>
        <v>0</v>
      </c>
      <c r="S15" s="22" t="n">
        <f aca="false">D15-L15-N15-Q15</f>
        <v>0</v>
      </c>
      <c r="T15" s="22" t="n">
        <f aca="false">S15*(1-Assumptions!$C$13)</f>
        <v>0</v>
      </c>
      <c r="U15" s="22" t="n">
        <f aca="false">S15*Assumptions!$C$13</f>
        <v>0</v>
      </c>
      <c r="V15" s="26" t="n">
        <f aca="false">L15+N15+T15</f>
        <v>0</v>
      </c>
      <c r="W15" s="26" t="n">
        <f aca="false">Q15+U15</f>
        <v>0</v>
      </c>
    </row>
    <row r="16" customFormat="false" ht="15" hidden="false" customHeight="true" outlineLevel="0" collapsed="false">
      <c r="B16" s="7" t="n">
        <v>13</v>
      </c>
      <c r="C16" s="9" t="str">
        <f aca="false">Quarters!$E$16</f>
        <v>Q1 2025</v>
      </c>
      <c r="D16" s="22" t="n">
        <f aca="false">SUMIFS('Portfolio Marks'!$J:$J,'Portfolio Marks'!$D:$D,B16)</f>
        <v>19411886.99</v>
      </c>
      <c r="E16" s="22" t="n">
        <f aca="false">F15</f>
        <v>48500000</v>
      </c>
      <c r="F16" s="22" t="n">
        <f aca="false">E16+'Capital Call Schedule'!$F$16</f>
        <v>48727500</v>
      </c>
      <c r="G16" s="22" t="n">
        <f aca="false">M15</f>
        <v>0</v>
      </c>
      <c r="H16" s="22" t="n">
        <f aca="false">(E16-G16)*Assumptions!$C$11/4</f>
        <v>970000</v>
      </c>
      <c r="I16" s="22" t="n">
        <f aca="false">I15+H16</f>
        <v>7600000</v>
      </c>
      <c r="J16" s="22" t="n">
        <f aca="false">O15</f>
        <v>0</v>
      </c>
      <c r="K16" s="22" t="n">
        <f aca="false">R15</f>
        <v>0</v>
      </c>
      <c r="L16" s="22" t="n">
        <f aca="false">MIN(D16,MAX(F16-G16,0))</f>
        <v>19411886.99</v>
      </c>
      <c r="M16" s="22" t="n">
        <f aca="false">G16+L16</f>
        <v>19411886.99</v>
      </c>
      <c r="N16" s="22" t="n">
        <f aca="false">MIN(D16-L16,MAX(I16-J16,0))</f>
        <v>0</v>
      </c>
      <c r="O16" s="22" t="n">
        <f aca="false">J16+N16</f>
        <v>0</v>
      </c>
      <c r="P16" s="22" t="n">
        <f aca="false">(Assumptions!$C$13/(1-Assumptions!$C$13))*O16</f>
        <v>0</v>
      </c>
      <c r="Q16" s="22" t="n">
        <f aca="false">MIN(D16-L16-N16,MAX(P16-K16,0))</f>
        <v>0</v>
      </c>
      <c r="R16" s="22" t="n">
        <f aca="false">K16+Q16</f>
        <v>0</v>
      </c>
      <c r="S16" s="22" t="n">
        <f aca="false">D16-L16-N16-Q16</f>
        <v>0</v>
      </c>
      <c r="T16" s="22" t="n">
        <f aca="false">S16*(1-Assumptions!$C$13)</f>
        <v>0</v>
      </c>
      <c r="U16" s="22" t="n">
        <f aca="false">S16*Assumptions!$C$13</f>
        <v>0</v>
      </c>
      <c r="V16" s="26" t="n">
        <f aca="false">L16+N16+T16</f>
        <v>19411886.99</v>
      </c>
      <c r="W16" s="26" t="n">
        <f aca="false">Q16+U16</f>
        <v>0</v>
      </c>
    </row>
    <row r="17" customFormat="false" ht="15" hidden="false" customHeight="true" outlineLevel="0" collapsed="false">
      <c r="B17" s="7" t="n">
        <v>14</v>
      </c>
      <c r="C17" s="9" t="str">
        <f aca="false">Quarters!$E$17</f>
        <v>Q2 2025</v>
      </c>
      <c r="D17" s="22" t="n">
        <f aca="false">SUMIFS('Portfolio Marks'!$J:$J,'Portfolio Marks'!$D:$D,B17)</f>
        <v>0</v>
      </c>
      <c r="E17" s="22" t="n">
        <f aca="false">F16</f>
        <v>48727500</v>
      </c>
      <c r="F17" s="22" t="n">
        <f aca="false">E17+'Capital Call Schedule'!$F$17</f>
        <v>48955000</v>
      </c>
      <c r="G17" s="22" t="n">
        <f aca="false">M16</f>
        <v>19411886.99</v>
      </c>
      <c r="H17" s="22" t="n">
        <f aca="false">(E17-G17)*Assumptions!$C$11/4</f>
        <v>586312.2602</v>
      </c>
      <c r="I17" s="22" t="n">
        <f aca="false">I16+H17</f>
        <v>8186312.2602</v>
      </c>
      <c r="J17" s="22" t="n">
        <f aca="false">O16</f>
        <v>0</v>
      </c>
      <c r="K17" s="22" t="n">
        <f aca="false">R16</f>
        <v>0</v>
      </c>
      <c r="L17" s="22" t="n">
        <f aca="false">MIN(D17,MAX(F17-G17,0))</f>
        <v>0</v>
      </c>
      <c r="M17" s="22" t="n">
        <f aca="false">G17+L17</f>
        <v>19411886.99</v>
      </c>
      <c r="N17" s="22" t="n">
        <f aca="false">MIN(D17-L17,MAX(I17-J17,0))</f>
        <v>0</v>
      </c>
      <c r="O17" s="22" t="n">
        <f aca="false">J17+N17</f>
        <v>0</v>
      </c>
      <c r="P17" s="22" t="n">
        <f aca="false">(Assumptions!$C$13/(1-Assumptions!$C$13))*O17</f>
        <v>0</v>
      </c>
      <c r="Q17" s="22" t="n">
        <f aca="false">MIN(D17-L17-N17,MAX(P17-K17,0))</f>
        <v>0</v>
      </c>
      <c r="R17" s="22" t="n">
        <f aca="false">K17+Q17</f>
        <v>0</v>
      </c>
      <c r="S17" s="22" t="n">
        <f aca="false">D17-L17-N17-Q17</f>
        <v>0</v>
      </c>
      <c r="T17" s="22" t="n">
        <f aca="false">S17*(1-Assumptions!$C$13)</f>
        <v>0</v>
      </c>
      <c r="U17" s="22" t="n">
        <f aca="false">S17*Assumptions!$C$13</f>
        <v>0</v>
      </c>
      <c r="V17" s="26" t="n">
        <f aca="false">L17+N17+T17</f>
        <v>0</v>
      </c>
      <c r="W17" s="26" t="n">
        <f aca="false">Q17+U17</f>
        <v>0</v>
      </c>
    </row>
    <row r="18" customFormat="false" ht="15" hidden="false" customHeight="true" outlineLevel="0" collapsed="false">
      <c r="B18" s="7" t="n">
        <v>15</v>
      </c>
      <c r="C18" s="9" t="str">
        <f aca="false">Quarters!$E$18</f>
        <v>Q3 2025</v>
      </c>
      <c r="D18" s="22" t="n">
        <f aca="false">SUMIFS('Portfolio Marks'!$J:$J,'Portfolio Marks'!$D:$D,B18)</f>
        <v>10993565.54</v>
      </c>
      <c r="E18" s="22" t="n">
        <f aca="false">F17</f>
        <v>48955000</v>
      </c>
      <c r="F18" s="22" t="n">
        <f aca="false">E18+'Capital Call Schedule'!$F$18</f>
        <v>49152500</v>
      </c>
      <c r="G18" s="22" t="n">
        <f aca="false">M17</f>
        <v>19411886.99</v>
      </c>
      <c r="H18" s="22" t="n">
        <f aca="false">(E18-G18)*Assumptions!$C$11/4</f>
        <v>590862.2602</v>
      </c>
      <c r="I18" s="22" t="n">
        <f aca="false">I17+H18</f>
        <v>8777174.5204</v>
      </c>
      <c r="J18" s="22" t="n">
        <f aca="false">O17</f>
        <v>0</v>
      </c>
      <c r="K18" s="22" t="n">
        <f aca="false">R17</f>
        <v>0</v>
      </c>
      <c r="L18" s="22" t="n">
        <f aca="false">MIN(D18,MAX(F18-G18,0))</f>
        <v>10993565.54</v>
      </c>
      <c r="M18" s="22" t="n">
        <f aca="false">G18+L18</f>
        <v>30405452.53</v>
      </c>
      <c r="N18" s="22" t="n">
        <f aca="false">MIN(D18-L18,MAX(I18-J18,0))</f>
        <v>0</v>
      </c>
      <c r="O18" s="22" t="n">
        <f aca="false">J18+N18</f>
        <v>0</v>
      </c>
      <c r="P18" s="22" t="n">
        <f aca="false">(Assumptions!$C$13/(1-Assumptions!$C$13))*O18</f>
        <v>0</v>
      </c>
      <c r="Q18" s="22" t="n">
        <f aca="false">MIN(D18-L18-N18,MAX(P18-K18,0))</f>
        <v>0</v>
      </c>
      <c r="R18" s="22" t="n">
        <f aca="false">K18+Q18</f>
        <v>0</v>
      </c>
      <c r="S18" s="22" t="n">
        <f aca="false">D18-L18-N18-Q18</f>
        <v>0</v>
      </c>
      <c r="T18" s="22" t="n">
        <f aca="false">S18*(1-Assumptions!$C$13)</f>
        <v>0</v>
      </c>
      <c r="U18" s="22" t="n">
        <f aca="false">S18*Assumptions!$C$13</f>
        <v>0</v>
      </c>
      <c r="V18" s="26" t="n">
        <f aca="false">L18+N18+T18</f>
        <v>10993565.54</v>
      </c>
      <c r="W18" s="26" t="n">
        <f aca="false">Q18+U18</f>
        <v>0</v>
      </c>
    </row>
    <row r="19" customFormat="false" ht="15" hidden="false" customHeight="true" outlineLevel="0" collapsed="false">
      <c r="B19" s="7" t="n">
        <v>16</v>
      </c>
      <c r="C19" s="9" t="str">
        <f aca="false">Quarters!$E$19</f>
        <v>Q4 2025</v>
      </c>
      <c r="D19" s="22" t="n">
        <f aca="false">SUMIFS('Portfolio Marks'!$J:$J,'Portfolio Marks'!$D:$D,B19)</f>
        <v>0</v>
      </c>
      <c r="E19" s="22" t="n">
        <f aca="false">F18</f>
        <v>49152500</v>
      </c>
      <c r="F19" s="22" t="n">
        <f aca="false">E19+'Capital Call Schedule'!$F$19</f>
        <v>49350000</v>
      </c>
      <c r="G19" s="22" t="n">
        <f aca="false">M18</f>
        <v>30405452.53</v>
      </c>
      <c r="H19" s="22" t="n">
        <f aca="false">(E19-G19)*Assumptions!$C$11/4</f>
        <v>374940.9494</v>
      </c>
      <c r="I19" s="22" t="n">
        <f aca="false">I18+H19</f>
        <v>9152115.4698</v>
      </c>
      <c r="J19" s="22" t="n">
        <f aca="false">O18</f>
        <v>0</v>
      </c>
      <c r="K19" s="22" t="n">
        <f aca="false">R18</f>
        <v>0</v>
      </c>
      <c r="L19" s="22" t="n">
        <f aca="false">MIN(D19,MAX(F19-G19,0))</f>
        <v>0</v>
      </c>
      <c r="M19" s="22" t="n">
        <f aca="false">G19+L19</f>
        <v>30405452.53</v>
      </c>
      <c r="N19" s="22" t="n">
        <f aca="false">MIN(D19-L19,MAX(I19-J19,0))</f>
        <v>0</v>
      </c>
      <c r="O19" s="22" t="n">
        <f aca="false">J19+N19</f>
        <v>0</v>
      </c>
      <c r="P19" s="22" t="n">
        <f aca="false">(Assumptions!$C$13/(1-Assumptions!$C$13))*O19</f>
        <v>0</v>
      </c>
      <c r="Q19" s="22" t="n">
        <f aca="false">MIN(D19-L19-N19,MAX(P19-K19,0))</f>
        <v>0</v>
      </c>
      <c r="R19" s="22" t="n">
        <f aca="false">K19+Q19</f>
        <v>0</v>
      </c>
      <c r="S19" s="22" t="n">
        <f aca="false">D19-L19-N19-Q19</f>
        <v>0</v>
      </c>
      <c r="T19" s="22" t="n">
        <f aca="false">S19*(1-Assumptions!$C$13)</f>
        <v>0</v>
      </c>
      <c r="U19" s="22" t="n">
        <f aca="false">S19*Assumptions!$C$13</f>
        <v>0</v>
      </c>
      <c r="V19" s="26" t="n">
        <f aca="false">L19+N19+T19</f>
        <v>0</v>
      </c>
      <c r="W19" s="26" t="n">
        <f aca="false">Q19+U19</f>
        <v>0</v>
      </c>
    </row>
    <row r="20" customFormat="false" ht="15" hidden="false" customHeight="true" outlineLevel="0" collapsed="false">
      <c r="B20" s="7" t="n">
        <v>17</v>
      </c>
      <c r="C20" s="9" t="str">
        <f aca="false">Quarters!$E$20</f>
        <v>Q1 2026</v>
      </c>
      <c r="D20" s="22" t="n">
        <f aca="false">SUMIFS('Portfolio Marks'!$J:$J,'Portfolio Marks'!$D:$D,B20)</f>
        <v>14803878.73</v>
      </c>
      <c r="E20" s="22" t="n">
        <f aca="false">F19</f>
        <v>49350000</v>
      </c>
      <c r="F20" s="22" t="n">
        <f aca="false">E20+'Capital Call Schedule'!$F$20</f>
        <v>49520000</v>
      </c>
      <c r="G20" s="22" t="n">
        <f aca="false">M19</f>
        <v>30405452.53</v>
      </c>
      <c r="H20" s="22" t="n">
        <f aca="false">(E20-G20)*Assumptions!$C$11/4</f>
        <v>378890.9494</v>
      </c>
      <c r="I20" s="22" t="n">
        <f aca="false">I19+H20</f>
        <v>9531006.4192</v>
      </c>
      <c r="J20" s="22" t="n">
        <f aca="false">O19</f>
        <v>0</v>
      </c>
      <c r="K20" s="22" t="n">
        <f aca="false">R19</f>
        <v>0</v>
      </c>
      <c r="L20" s="22" t="n">
        <f aca="false">MIN(D20,MAX(F20-G20,0))</f>
        <v>14803878.73</v>
      </c>
      <c r="M20" s="22" t="n">
        <f aca="false">G20+L20</f>
        <v>45209331.26</v>
      </c>
      <c r="N20" s="22" t="n">
        <f aca="false">MIN(D20-L20,MAX(I20-J20,0))</f>
        <v>0</v>
      </c>
      <c r="O20" s="22" t="n">
        <f aca="false">J20+N20</f>
        <v>0</v>
      </c>
      <c r="P20" s="22" t="n">
        <f aca="false">(Assumptions!$C$13/(1-Assumptions!$C$13))*O20</f>
        <v>0</v>
      </c>
      <c r="Q20" s="22" t="n">
        <f aca="false">MIN(D20-L20-N20,MAX(P20-K20,0))</f>
        <v>0</v>
      </c>
      <c r="R20" s="22" t="n">
        <f aca="false">K20+Q20</f>
        <v>0</v>
      </c>
      <c r="S20" s="22" t="n">
        <f aca="false">D20-L20-N20-Q20</f>
        <v>0</v>
      </c>
      <c r="T20" s="22" t="n">
        <f aca="false">S20*(1-Assumptions!$C$13)</f>
        <v>0</v>
      </c>
      <c r="U20" s="22" t="n">
        <f aca="false">S20*Assumptions!$C$13</f>
        <v>0</v>
      </c>
      <c r="V20" s="26" t="n">
        <f aca="false">L20+N20+T20</f>
        <v>14803878.73</v>
      </c>
      <c r="W20" s="26" t="n">
        <f aca="false">Q20+U20</f>
        <v>0</v>
      </c>
    </row>
    <row r="21" customFormat="false" ht="15" hidden="false" customHeight="true" outlineLevel="0" collapsed="false">
      <c r="B21" s="7" t="n">
        <v>18</v>
      </c>
      <c r="C21" s="9" t="str">
        <f aca="false">Quarters!$E$21</f>
        <v>Q2 2026</v>
      </c>
      <c r="D21" s="22" t="n">
        <f aca="false">SUMIFS('Portfolio Marks'!$J:$J,'Portfolio Marks'!$D:$D,B21)</f>
        <v>19995229.19</v>
      </c>
      <c r="E21" s="22" t="n">
        <f aca="false">F20</f>
        <v>49520000</v>
      </c>
      <c r="F21" s="22" t="n">
        <f aca="false">E21+'Capital Call Schedule'!$F$21</f>
        <v>49690000</v>
      </c>
      <c r="G21" s="22" t="n">
        <f aca="false">M20</f>
        <v>45209331.26</v>
      </c>
      <c r="H21" s="22" t="n">
        <f aca="false">(E21-G21)*Assumptions!$C$11/4</f>
        <v>86213.3748000001</v>
      </c>
      <c r="I21" s="22" t="n">
        <f aca="false">I20+H21</f>
        <v>9617219.794</v>
      </c>
      <c r="J21" s="22" t="n">
        <f aca="false">O20</f>
        <v>0</v>
      </c>
      <c r="K21" s="22" t="n">
        <f aca="false">R20</f>
        <v>0</v>
      </c>
      <c r="L21" s="22" t="n">
        <f aca="false">MIN(D21,MAX(F21-G21,0))</f>
        <v>4480668.74</v>
      </c>
      <c r="M21" s="22" t="n">
        <f aca="false">G21+L21</f>
        <v>49690000</v>
      </c>
      <c r="N21" s="22" t="n">
        <f aca="false">MIN(D21-L21,MAX(I21-J21,0))</f>
        <v>9617219.794</v>
      </c>
      <c r="O21" s="22" t="n">
        <f aca="false">J21+N21</f>
        <v>9617219.794</v>
      </c>
      <c r="P21" s="22" t="n">
        <f aca="false">(Assumptions!$C$13/(1-Assumptions!$C$13))*O21</f>
        <v>2404304.9485</v>
      </c>
      <c r="Q21" s="22" t="n">
        <f aca="false">MIN(D21-L21-N21,MAX(P21-K21,0))</f>
        <v>2404304.9485</v>
      </c>
      <c r="R21" s="22" t="n">
        <f aca="false">K21+Q21</f>
        <v>2404304.9485</v>
      </c>
      <c r="S21" s="22" t="n">
        <f aca="false">D21-L21-N21-Q21</f>
        <v>3493035.7075</v>
      </c>
      <c r="T21" s="22" t="n">
        <f aca="false">S21*(1-Assumptions!$C$13)</f>
        <v>2794428.566</v>
      </c>
      <c r="U21" s="22" t="n">
        <f aca="false">S21*Assumptions!$C$13</f>
        <v>698607.141499999</v>
      </c>
      <c r="V21" s="26" t="n">
        <f aca="false">L21+N21+T21</f>
        <v>16892317.1</v>
      </c>
      <c r="W21" s="26" t="n">
        <f aca="false">Q21+U21</f>
        <v>3102912.09</v>
      </c>
    </row>
    <row r="22" customFormat="false" ht="15" hidden="false" customHeight="true" outlineLevel="0" collapsed="false">
      <c r="C22" s="4" t="s">
        <v>219</v>
      </c>
      <c r="V22" s="20" t="n">
        <f aca="false">SUM(V4:V21)</f>
        <v>62101648.36</v>
      </c>
      <c r="W22" s="20" t="n">
        <f aca="false">SUM(W4:W21)</f>
        <v>3102912.09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10" min="4" style="1" width="16"/>
    <col collapsed="false" customWidth="true" hidden="false" outlineLevel="0" max="11" min="11" style="1" width="10"/>
  </cols>
  <sheetData>
    <row r="1" customFormat="false" ht="21.75" hidden="false" customHeight="true" outlineLevel="0" collapsed="false">
      <c r="A1" s="2" t="s">
        <v>220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221</v>
      </c>
      <c r="B2" s="3"/>
      <c r="C2" s="3"/>
      <c r="D2" s="3"/>
      <c r="E2" s="3"/>
      <c r="F2" s="3"/>
      <c r="G2" s="3"/>
      <c r="H2" s="3"/>
      <c r="I2" s="3"/>
    </row>
    <row r="3" customFormat="false" ht="23.25" hidden="false" customHeight="true" outlineLevel="0" collapsed="false">
      <c r="B3" s="15" t="s">
        <v>175</v>
      </c>
      <c r="C3" s="15" t="s">
        <v>69</v>
      </c>
      <c r="D3" s="15" t="s">
        <v>222</v>
      </c>
      <c r="E3" s="15" t="s">
        <v>223</v>
      </c>
      <c r="F3" s="15" t="s">
        <v>224</v>
      </c>
      <c r="G3" s="15" t="s">
        <v>225</v>
      </c>
      <c r="H3" s="15" t="s">
        <v>226</v>
      </c>
      <c r="I3" s="15" t="s">
        <v>227</v>
      </c>
      <c r="J3" s="15" t="s">
        <v>228</v>
      </c>
      <c r="K3" s="15" t="s">
        <v>229</v>
      </c>
    </row>
    <row r="4" customFormat="false" ht="15" hidden="false" customHeight="true" outlineLevel="0" collapsed="false">
      <c r="B4" s="7" t="n">
        <v>1</v>
      </c>
      <c r="C4" s="9" t="str">
        <f aca="false">Quarters!$E$4</f>
        <v>Q1 2022</v>
      </c>
      <c r="D4" s="22" t="s">
        <v>218</v>
      </c>
      <c r="E4" s="25" t="n">
        <f aca="false">'Capital Call Schedule'!$F$4</f>
        <v>6250000</v>
      </c>
      <c r="F4" s="25" t="n">
        <f aca="false">-'Mgmt Fee Schedule'!$G$4</f>
        <v>-250000</v>
      </c>
      <c r="G4" s="22" t="n">
        <f aca="false">SUMIFS('Portfolio Marks'!$L:$L,'Portfolio Marks'!$D:$D,B4)</f>
        <v>0</v>
      </c>
      <c r="H4" s="22" t="n">
        <f aca="false">(SUMIFS('Portfolio Marks'!$G:$G,'Portfolio Marks'!$D:$D,B4)-SUMIFS('Portfolio Marks'!$J:$J,'Portfolio Marks'!$D:$D,B4))-D4-E4+'Mgmt Fee Schedule'!$G$4-G4+'Distribution Waterfall'!$D$4</f>
        <v>0</v>
      </c>
      <c r="I4" s="25" t="n">
        <f aca="false">-'Distribution Waterfall'!$D$4</f>
        <v>-0</v>
      </c>
      <c r="J4" s="26" t="n">
        <f aca="false">D4+E4+F4+G4+H4+I4</f>
        <v>6000000</v>
      </c>
      <c r="K4" s="7" t="str">
        <f aca="false">IF(ROUND(J4-(SUMIFS('Portfolio Marks'!$G:$G,'Portfolio Marks'!$D:$D,B4)-SUMIFS('Portfolio Marks'!$J:$J,'Portfolio Marks'!$D:$D,B4)),2)=0,"OK","ERROR")</f>
        <v>OK</v>
      </c>
    </row>
    <row r="5" customFormat="false" ht="15" hidden="false" customHeight="true" outlineLevel="0" collapsed="false">
      <c r="B5" s="7" t="n">
        <v>2</v>
      </c>
      <c r="C5" s="9" t="str">
        <f aca="false">Quarters!$E$5</f>
        <v>Q2 2022</v>
      </c>
      <c r="D5" s="22" t="n">
        <f aca="false">J4</f>
        <v>6000000</v>
      </c>
      <c r="E5" s="25" t="n">
        <f aca="false">'Capital Call Schedule'!$F$5</f>
        <v>5750000</v>
      </c>
      <c r="F5" s="25" t="n">
        <f aca="false">-'Mgmt Fee Schedule'!$G$5</f>
        <v>-250000</v>
      </c>
      <c r="G5" s="22" t="n">
        <f aca="false">SUMIFS('Portfolio Marks'!$L:$L,'Portfolio Marks'!$D:$D,B5)</f>
        <v>0</v>
      </c>
      <c r="H5" s="22" t="n">
        <f aca="false">(SUMIFS('Portfolio Marks'!$G:$G,'Portfolio Marks'!$D:$D,B5)-SUMIFS('Portfolio Marks'!$J:$J,'Portfolio Marks'!$D:$D,B5))-D5-E5+'Mgmt Fee Schedule'!$G$5-G5+'Distribution Waterfall'!$D$5</f>
        <v>657424.539999999</v>
      </c>
      <c r="I5" s="25" t="n">
        <f aca="false">-'Distribution Waterfall'!$D$5</f>
        <v>-0</v>
      </c>
      <c r="J5" s="26" t="n">
        <f aca="false">D5+E5+F5+G5+H5+I5</f>
        <v>12157424.54</v>
      </c>
      <c r="K5" s="7" t="str">
        <f aca="false">IF(ROUND(J5-(SUMIFS('Portfolio Marks'!$G:$G,'Portfolio Marks'!$D:$D,B5)-SUMIFS('Portfolio Marks'!$J:$J,'Portfolio Marks'!$D:$D,B5)),2)=0,"OK","ERROR")</f>
        <v>OK</v>
      </c>
    </row>
    <row r="6" customFormat="false" ht="15" hidden="false" customHeight="true" outlineLevel="0" collapsed="false">
      <c r="B6" s="7" t="n">
        <v>3</v>
      </c>
      <c r="C6" s="9" t="str">
        <f aca="false">Quarters!$E$6</f>
        <v>Q3 2022</v>
      </c>
      <c r="D6" s="22" t="n">
        <f aca="false">J5</f>
        <v>12157424.54</v>
      </c>
      <c r="E6" s="25" t="n">
        <f aca="false">'Capital Call Schedule'!$F$6</f>
        <v>4750000</v>
      </c>
      <c r="F6" s="25" t="n">
        <f aca="false">-'Mgmt Fee Schedule'!$G$6</f>
        <v>-250000</v>
      </c>
      <c r="G6" s="22" t="n">
        <f aca="false">SUMIFS('Portfolio Marks'!$L:$L,'Portfolio Marks'!$D:$D,B6)</f>
        <v>0</v>
      </c>
      <c r="H6" s="22" t="n">
        <f aca="false">(SUMIFS('Portfolio Marks'!$G:$G,'Portfolio Marks'!$D:$D,B6)-SUMIFS('Portfolio Marks'!$J:$J,'Portfolio Marks'!$D:$D,B6))-D6-E6+'Mgmt Fee Schedule'!$G$6-G6+'Distribution Waterfall'!$D$6</f>
        <v>896533.370000001</v>
      </c>
      <c r="I6" s="25" t="n">
        <f aca="false">-'Distribution Waterfall'!$D$6</f>
        <v>-0</v>
      </c>
      <c r="J6" s="26" t="n">
        <f aca="false">D6+E6+F6+G6+H6+I6</f>
        <v>17553957.91</v>
      </c>
      <c r="K6" s="7" t="str">
        <f aca="false">IF(ROUND(J6-(SUMIFS('Portfolio Marks'!$G:$G,'Portfolio Marks'!$D:$D,B6)-SUMIFS('Portfolio Marks'!$J:$J,'Portfolio Marks'!$D:$D,B6)),2)=0,"OK","ERROR")</f>
        <v>OK</v>
      </c>
    </row>
    <row r="7" customFormat="false" ht="15" hidden="false" customHeight="true" outlineLevel="0" collapsed="false">
      <c r="B7" s="7" t="n">
        <v>4</v>
      </c>
      <c r="C7" s="9" t="str">
        <f aca="false">Quarters!$E$7</f>
        <v>Q4 2022</v>
      </c>
      <c r="D7" s="22" t="n">
        <f aca="false">J6</f>
        <v>17553957.91</v>
      </c>
      <c r="E7" s="25" t="n">
        <f aca="false">'Capital Call Schedule'!$F$7</f>
        <v>5250000</v>
      </c>
      <c r="F7" s="25" t="n">
        <f aca="false">-'Mgmt Fee Schedule'!$G$7</f>
        <v>-250000</v>
      </c>
      <c r="G7" s="22" t="n">
        <f aca="false">SUMIFS('Portfolio Marks'!$L:$L,'Portfolio Marks'!$D:$D,B7)</f>
        <v>0</v>
      </c>
      <c r="H7" s="22" t="n">
        <f aca="false">(SUMIFS('Portfolio Marks'!$G:$G,'Portfolio Marks'!$D:$D,B7)-SUMIFS('Portfolio Marks'!$J:$J,'Portfolio Marks'!$D:$D,B7))-D7-E7+'Mgmt Fee Schedule'!$G$7-G7+'Distribution Waterfall'!$D$7</f>
        <v>1008642.5</v>
      </c>
      <c r="I7" s="25" t="n">
        <f aca="false">-'Distribution Waterfall'!$D$7</f>
        <v>-0</v>
      </c>
      <c r="J7" s="26" t="n">
        <f aca="false">D7+E7+F7+G7+H7+I7</f>
        <v>23562600.41</v>
      </c>
      <c r="K7" s="7" t="str">
        <f aca="false">IF(ROUND(J7-(SUMIFS('Portfolio Marks'!$G:$G,'Portfolio Marks'!$D:$D,B7)-SUMIFS('Portfolio Marks'!$J:$J,'Portfolio Marks'!$D:$D,B7)),2)=0,"OK","ERROR")</f>
        <v>OK</v>
      </c>
    </row>
    <row r="8" customFormat="false" ht="15" hidden="false" customHeight="true" outlineLevel="0" collapsed="false">
      <c r="B8" s="7" t="n">
        <v>5</v>
      </c>
      <c r="C8" s="9" t="str">
        <f aca="false">Quarters!$E$8</f>
        <v>Q1 2023</v>
      </c>
      <c r="D8" s="22" t="n">
        <f aca="false">J7</f>
        <v>23562600.41</v>
      </c>
      <c r="E8" s="25" t="n">
        <f aca="false">'Capital Call Schedule'!$F$8</f>
        <v>4250000</v>
      </c>
      <c r="F8" s="25" t="n">
        <f aca="false">-'Mgmt Fee Schedule'!$G$8</f>
        <v>-250000</v>
      </c>
      <c r="G8" s="22" t="n">
        <f aca="false">SUMIFS('Portfolio Marks'!$L:$L,'Portfolio Marks'!$D:$D,B8)</f>
        <v>0</v>
      </c>
      <c r="H8" s="22" t="n">
        <f aca="false">(SUMIFS('Portfolio Marks'!$G:$G,'Portfolio Marks'!$D:$D,B8)-SUMIFS('Portfolio Marks'!$J:$J,'Portfolio Marks'!$D:$D,B8))-D8-E8+'Mgmt Fee Schedule'!$G$8-G8+'Distribution Waterfall'!$D$8</f>
        <v>1485986.85</v>
      </c>
      <c r="I8" s="25" t="n">
        <f aca="false">-'Distribution Waterfall'!$D$8</f>
        <v>-0</v>
      </c>
      <c r="J8" s="26" t="n">
        <f aca="false">D8+E8+F8+G8+H8+I8</f>
        <v>29048587.26</v>
      </c>
      <c r="K8" s="7" t="str">
        <f aca="false">IF(ROUND(J8-(SUMIFS('Portfolio Marks'!$G:$G,'Portfolio Marks'!$D:$D,B8)-SUMIFS('Portfolio Marks'!$J:$J,'Portfolio Marks'!$D:$D,B8)),2)=0,"OK","ERROR")</f>
        <v>OK</v>
      </c>
    </row>
    <row r="9" customFormat="false" ht="15" hidden="false" customHeight="true" outlineLevel="0" collapsed="false">
      <c r="B9" s="7" t="n">
        <v>6</v>
      </c>
      <c r="C9" s="9" t="str">
        <f aca="false">Quarters!$E$9</f>
        <v>Q2 2023</v>
      </c>
      <c r="D9" s="22" t="n">
        <f aca="false">J8</f>
        <v>29048587.26</v>
      </c>
      <c r="E9" s="25" t="n">
        <f aca="false">'Capital Call Schedule'!$F$9</f>
        <v>5250000</v>
      </c>
      <c r="F9" s="25" t="n">
        <f aca="false">-'Mgmt Fee Schedule'!$G$9</f>
        <v>-250000</v>
      </c>
      <c r="G9" s="22" t="n">
        <f aca="false">SUMIFS('Portfolio Marks'!$L:$L,'Portfolio Marks'!$D:$D,B9)</f>
        <v>0</v>
      </c>
      <c r="H9" s="22" t="n">
        <f aca="false">(SUMIFS('Portfolio Marks'!$G:$G,'Portfolio Marks'!$D:$D,B9)-SUMIFS('Portfolio Marks'!$J:$J,'Portfolio Marks'!$D:$D,B9))-D9-E9+'Mgmt Fee Schedule'!$G$9-G9+'Distribution Waterfall'!$D$9</f>
        <v>1163810.53</v>
      </c>
      <c r="I9" s="25" t="n">
        <f aca="false">-'Distribution Waterfall'!$D$9</f>
        <v>-0</v>
      </c>
      <c r="J9" s="26" t="n">
        <f aca="false">D9+E9+F9+G9+H9+I9</f>
        <v>35212397.79</v>
      </c>
      <c r="K9" s="7" t="str">
        <f aca="false">IF(ROUND(J9-(SUMIFS('Portfolio Marks'!$G:$G,'Portfolio Marks'!$D:$D,B9)-SUMIFS('Portfolio Marks'!$J:$J,'Portfolio Marks'!$D:$D,B9)),2)=0,"OK","ERROR")</f>
        <v>OK</v>
      </c>
    </row>
    <row r="10" customFormat="false" ht="15" hidden="false" customHeight="true" outlineLevel="0" collapsed="false">
      <c r="B10" s="7" t="n">
        <v>7</v>
      </c>
      <c r="C10" s="9" t="str">
        <f aca="false">Quarters!$E$10</f>
        <v>Q3 2023</v>
      </c>
      <c r="D10" s="22" t="n">
        <f aca="false">J9</f>
        <v>35212397.79</v>
      </c>
      <c r="E10" s="25" t="n">
        <f aca="false">'Capital Call Schedule'!$F$10</f>
        <v>4750000</v>
      </c>
      <c r="F10" s="25" t="n">
        <f aca="false">-'Mgmt Fee Schedule'!$G$10</f>
        <v>-250000</v>
      </c>
      <c r="G10" s="22" t="n">
        <f aca="false">SUMIFS('Portfolio Marks'!$L:$L,'Portfolio Marks'!$D:$D,B10)</f>
        <v>0</v>
      </c>
      <c r="H10" s="22" t="n">
        <f aca="false">(SUMIFS('Portfolio Marks'!$G:$G,'Portfolio Marks'!$D:$D,B10)-SUMIFS('Portfolio Marks'!$J:$J,'Portfolio Marks'!$D:$D,B10))-D10-E10+'Mgmt Fee Schedule'!$G$10-G10+'Distribution Waterfall'!$D$10</f>
        <v>2059134.67999999</v>
      </c>
      <c r="I10" s="25" t="n">
        <f aca="false">-'Distribution Waterfall'!$D$10</f>
        <v>-0</v>
      </c>
      <c r="J10" s="26" t="n">
        <f aca="false">D10+E10+F10+G10+H10+I10</f>
        <v>41771532.47</v>
      </c>
      <c r="K10" s="7" t="str">
        <f aca="false">IF(ROUND(J10-(SUMIFS('Portfolio Marks'!$G:$G,'Portfolio Marks'!$D:$D,B10)-SUMIFS('Portfolio Marks'!$J:$J,'Portfolio Marks'!$D:$D,B10)),2)=0,"OK","ERROR")</f>
        <v>OK</v>
      </c>
    </row>
    <row r="11" customFormat="false" ht="15" hidden="false" customHeight="true" outlineLevel="0" collapsed="false">
      <c r="B11" s="7" t="n">
        <v>8</v>
      </c>
      <c r="C11" s="9" t="str">
        <f aca="false">Quarters!$E$11</f>
        <v>Q4 2023</v>
      </c>
      <c r="D11" s="22" t="n">
        <f aca="false">J10</f>
        <v>41771532.47</v>
      </c>
      <c r="E11" s="25" t="n">
        <f aca="false">'Capital Call Schedule'!$F$11</f>
        <v>3750000</v>
      </c>
      <c r="F11" s="25" t="n">
        <f aca="false">-'Mgmt Fee Schedule'!$G$11</f>
        <v>-250000</v>
      </c>
      <c r="G11" s="22" t="n">
        <f aca="false">SUMIFS('Portfolio Marks'!$L:$L,'Portfolio Marks'!$D:$D,B11)</f>
        <v>0</v>
      </c>
      <c r="H11" s="22" t="n">
        <f aca="false">(SUMIFS('Portfolio Marks'!$G:$G,'Portfolio Marks'!$D:$D,B11)-SUMIFS('Portfolio Marks'!$J:$J,'Portfolio Marks'!$D:$D,B11))-D11-E11+'Mgmt Fee Schedule'!$G$11-G11+'Distribution Waterfall'!$D$11</f>
        <v>2512421.29</v>
      </c>
      <c r="I11" s="25" t="n">
        <f aca="false">-'Distribution Waterfall'!$D$11</f>
        <v>-0</v>
      </c>
      <c r="J11" s="26" t="n">
        <f aca="false">D11+E11+F11+G11+H11+I11</f>
        <v>47783953.76</v>
      </c>
      <c r="K11" s="7" t="str">
        <f aca="false">IF(ROUND(J11-(SUMIFS('Portfolio Marks'!$G:$G,'Portfolio Marks'!$D:$D,B11)-SUMIFS('Portfolio Marks'!$J:$J,'Portfolio Marks'!$D:$D,B11)),2)=0,"OK","ERROR")</f>
        <v>OK</v>
      </c>
    </row>
    <row r="12" customFormat="false" ht="15" hidden="false" customHeight="true" outlineLevel="0" collapsed="false">
      <c r="B12" s="7" t="n">
        <v>9</v>
      </c>
      <c r="C12" s="9" t="str">
        <f aca="false">Quarters!$E$12</f>
        <v>Q1 2024</v>
      </c>
      <c r="D12" s="22" t="n">
        <f aca="false">J11</f>
        <v>47783953.76</v>
      </c>
      <c r="E12" s="25" t="n">
        <f aca="false">'Capital Call Schedule'!$F$12</f>
        <v>4250000</v>
      </c>
      <c r="F12" s="25" t="n">
        <f aca="false">-'Mgmt Fee Schedule'!$G$12</f>
        <v>-250000</v>
      </c>
      <c r="G12" s="22" t="n">
        <f aca="false">SUMIFS('Portfolio Marks'!$L:$L,'Portfolio Marks'!$D:$D,B12)</f>
        <v>0</v>
      </c>
      <c r="H12" s="22" t="n">
        <f aca="false">(SUMIFS('Portfolio Marks'!$G:$G,'Portfolio Marks'!$D:$D,B12)-SUMIFS('Portfolio Marks'!$J:$J,'Portfolio Marks'!$D:$D,B12))-D12-E12+'Mgmt Fee Schedule'!$G$12-G12+'Distribution Waterfall'!$D$12</f>
        <v>2864578.8</v>
      </c>
      <c r="I12" s="25" t="n">
        <f aca="false">-'Distribution Waterfall'!$D$12</f>
        <v>-0</v>
      </c>
      <c r="J12" s="26" t="n">
        <f aca="false">D12+E12+F12+G12+H12+I12</f>
        <v>54648532.56</v>
      </c>
      <c r="K12" s="7" t="str">
        <f aca="false">IF(ROUND(J12-(SUMIFS('Portfolio Marks'!$G:$G,'Portfolio Marks'!$D:$D,B12)-SUMIFS('Portfolio Marks'!$J:$J,'Portfolio Marks'!$D:$D,B12)),2)=0,"OK","ERROR")</f>
        <v>OK</v>
      </c>
    </row>
    <row r="13" customFormat="false" ht="15" hidden="false" customHeight="true" outlineLevel="0" collapsed="false">
      <c r="B13" s="7" t="n">
        <v>10</v>
      </c>
      <c r="C13" s="9" t="str">
        <f aca="false">Quarters!$E$13</f>
        <v>Q2 2024</v>
      </c>
      <c r="D13" s="22" t="n">
        <f aca="false">J12</f>
        <v>54648532.56</v>
      </c>
      <c r="E13" s="25" t="n">
        <f aca="false">'Capital Call Schedule'!$F$13</f>
        <v>3750000</v>
      </c>
      <c r="F13" s="25" t="n">
        <f aca="false">-'Mgmt Fee Schedule'!$G$13</f>
        <v>-250000</v>
      </c>
      <c r="G13" s="22" t="n">
        <f aca="false">SUMIFS('Portfolio Marks'!$L:$L,'Portfolio Marks'!$D:$D,B13)</f>
        <v>0</v>
      </c>
      <c r="H13" s="22" t="n">
        <f aca="false">(SUMIFS('Portfolio Marks'!$G:$G,'Portfolio Marks'!$D:$D,B13)-SUMIFS('Portfolio Marks'!$J:$J,'Portfolio Marks'!$D:$D,B13))-D13-E13+'Mgmt Fee Schedule'!$G$13-G13+'Distribution Waterfall'!$D$13</f>
        <v>3303626.81</v>
      </c>
      <c r="I13" s="25" t="n">
        <f aca="false">-'Distribution Waterfall'!$D$13</f>
        <v>-0</v>
      </c>
      <c r="J13" s="26" t="n">
        <f aca="false">D13+E13+F13+G13+H13+I13</f>
        <v>61452159.37</v>
      </c>
      <c r="K13" s="7" t="str">
        <f aca="false">IF(ROUND(J13-(SUMIFS('Portfolio Marks'!$G:$G,'Portfolio Marks'!$D:$D,B13)-SUMIFS('Portfolio Marks'!$J:$J,'Portfolio Marks'!$D:$D,B13)),2)=0,"OK","ERROR")</f>
        <v>OK</v>
      </c>
    </row>
    <row r="14" customFormat="false" ht="15" hidden="false" customHeight="true" outlineLevel="0" collapsed="false">
      <c r="B14" s="7" t="n">
        <v>11</v>
      </c>
      <c r="C14" s="9" t="str">
        <f aca="false">Quarters!$E$14</f>
        <v>Q3 2024</v>
      </c>
      <c r="D14" s="22" t="n">
        <f aca="false">J13</f>
        <v>61452159.37</v>
      </c>
      <c r="E14" s="25" t="n">
        <f aca="false">'Capital Call Schedule'!$F$14</f>
        <v>250000</v>
      </c>
      <c r="F14" s="25" t="n">
        <f aca="false">-'Mgmt Fee Schedule'!$G$14</f>
        <v>-250000</v>
      </c>
      <c r="G14" s="22" t="n">
        <f aca="false">SUMIFS('Portfolio Marks'!$L:$L,'Portfolio Marks'!$D:$D,B14)</f>
        <v>0</v>
      </c>
      <c r="H14" s="22" t="n">
        <f aca="false">(SUMIFS('Portfolio Marks'!$G:$G,'Portfolio Marks'!$D:$D,B14)-SUMIFS('Portfolio Marks'!$J:$J,'Portfolio Marks'!$D:$D,B14))-D14-E14+'Mgmt Fee Schedule'!$G$14-G14+'Distribution Waterfall'!$D$14</f>
        <v>3663717.05</v>
      </c>
      <c r="I14" s="25" t="n">
        <f aca="false">-'Distribution Waterfall'!$D$14</f>
        <v>-0</v>
      </c>
      <c r="J14" s="26" t="n">
        <f aca="false">D14+E14+F14+G14+H14+I14</f>
        <v>65115876.42</v>
      </c>
      <c r="K14" s="7" t="str">
        <f aca="false">IF(ROUND(J14-(SUMIFS('Portfolio Marks'!$G:$G,'Portfolio Marks'!$D:$D,B14)-SUMIFS('Portfolio Marks'!$J:$J,'Portfolio Marks'!$D:$D,B14)),2)=0,"OK","ERROR")</f>
        <v>OK</v>
      </c>
    </row>
    <row r="15" customFormat="false" ht="15" hidden="false" customHeight="true" outlineLevel="0" collapsed="false">
      <c r="B15" s="7" t="n">
        <v>12</v>
      </c>
      <c r="C15" s="9" t="str">
        <f aca="false">Quarters!$E$15</f>
        <v>Q4 2024</v>
      </c>
      <c r="D15" s="22" t="n">
        <f aca="false">J14</f>
        <v>65115876.42</v>
      </c>
      <c r="E15" s="25" t="n">
        <f aca="false">'Capital Call Schedule'!$F$15</f>
        <v>250000</v>
      </c>
      <c r="F15" s="25" t="n">
        <f aca="false">-'Mgmt Fee Schedule'!$G$15</f>
        <v>-250000</v>
      </c>
      <c r="G15" s="22" t="n">
        <f aca="false">SUMIFS('Portfolio Marks'!$L:$L,'Portfolio Marks'!$D:$D,B15)</f>
        <v>0</v>
      </c>
      <c r="H15" s="22" t="n">
        <f aca="false">(SUMIFS('Portfolio Marks'!$G:$G,'Portfolio Marks'!$D:$D,B15)-SUMIFS('Portfolio Marks'!$J:$J,'Portfolio Marks'!$D:$D,B15))-D15-E15+'Mgmt Fee Schedule'!$G$15-G15+'Distribution Waterfall'!$D$15</f>
        <v>4363782.81</v>
      </c>
      <c r="I15" s="25" t="n">
        <f aca="false">-'Distribution Waterfall'!$D$15</f>
        <v>-0</v>
      </c>
      <c r="J15" s="26" t="n">
        <f aca="false">D15+E15+F15+G15+H15+I15</f>
        <v>69479659.23</v>
      </c>
      <c r="K15" s="7" t="str">
        <f aca="false">IF(ROUND(J15-(SUMIFS('Portfolio Marks'!$G:$G,'Portfolio Marks'!$D:$D,B15)-SUMIFS('Portfolio Marks'!$J:$J,'Portfolio Marks'!$D:$D,B15)),2)=0,"OK","ERROR")</f>
        <v>OK</v>
      </c>
    </row>
    <row r="16" customFormat="false" ht="15" hidden="false" customHeight="true" outlineLevel="0" collapsed="false">
      <c r="B16" s="7" t="n">
        <v>13</v>
      </c>
      <c r="C16" s="9" t="str">
        <f aca="false">Quarters!$E$16</f>
        <v>Q1 2025</v>
      </c>
      <c r="D16" s="22" t="n">
        <f aca="false">J15</f>
        <v>69479659.23</v>
      </c>
      <c r="E16" s="25" t="n">
        <f aca="false">'Capital Call Schedule'!$F$16</f>
        <v>227500</v>
      </c>
      <c r="F16" s="25" t="n">
        <f aca="false">-'Mgmt Fee Schedule'!$G$16</f>
        <v>-227500</v>
      </c>
      <c r="G16" s="22" t="n">
        <f aca="false">SUMIFS('Portfolio Marks'!$L:$L,'Portfolio Marks'!$D:$D,B16)</f>
        <v>13411886.99</v>
      </c>
      <c r="H16" s="22" t="n">
        <f aca="false">(SUMIFS('Portfolio Marks'!$G:$G,'Portfolio Marks'!$D:$D,B16)-SUMIFS('Portfolio Marks'!$J:$J,'Portfolio Marks'!$D:$D,B16))-D16-E16+'Mgmt Fee Schedule'!$G$16-G16+'Distribution Waterfall'!$D$16</f>
        <v>-8476207.73</v>
      </c>
      <c r="I16" s="25" t="n">
        <f aca="false">-'Distribution Waterfall'!$D$16</f>
        <v>-19411886.99</v>
      </c>
      <c r="J16" s="26" t="n">
        <f aca="false">D16+E16+F16+G16+H16+I16</f>
        <v>55003451.5</v>
      </c>
      <c r="K16" s="7" t="str">
        <f aca="false">IF(ROUND(J16-(SUMIFS('Portfolio Marks'!$G:$G,'Portfolio Marks'!$D:$D,B16)-SUMIFS('Portfolio Marks'!$J:$J,'Portfolio Marks'!$D:$D,B16)),2)=0,"OK","ERROR")</f>
        <v>OK</v>
      </c>
    </row>
    <row r="17" customFormat="false" ht="15" hidden="false" customHeight="true" outlineLevel="0" collapsed="false">
      <c r="B17" s="7" t="n">
        <v>14</v>
      </c>
      <c r="C17" s="9" t="str">
        <f aca="false">Quarters!$E$17</f>
        <v>Q2 2025</v>
      </c>
      <c r="D17" s="22" t="n">
        <f aca="false">J16</f>
        <v>55003451.5</v>
      </c>
      <c r="E17" s="25" t="n">
        <f aca="false">'Capital Call Schedule'!$F$17</f>
        <v>227500</v>
      </c>
      <c r="F17" s="25" t="n">
        <f aca="false">-'Mgmt Fee Schedule'!$G$17</f>
        <v>-227500</v>
      </c>
      <c r="G17" s="22" t="n">
        <f aca="false">SUMIFS('Portfolio Marks'!$L:$L,'Portfolio Marks'!$D:$D,B17)</f>
        <v>0</v>
      </c>
      <c r="H17" s="22" t="n">
        <f aca="false">(SUMIFS('Portfolio Marks'!$G:$G,'Portfolio Marks'!$D:$D,B17)-SUMIFS('Portfolio Marks'!$J:$J,'Portfolio Marks'!$D:$D,B17))-D17-E17+'Mgmt Fee Schedule'!$G$17-G17+'Distribution Waterfall'!$D$17</f>
        <v>2950760.29</v>
      </c>
      <c r="I17" s="25" t="n">
        <f aca="false">-'Distribution Waterfall'!$D$17</f>
        <v>-0</v>
      </c>
      <c r="J17" s="26" t="n">
        <f aca="false">D17+E17+F17+G17+H17+I17</f>
        <v>57954211.79</v>
      </c>
      <c r="K17" s="7" t="str">
        <f aca="false">IF(ROUND(J17-(SUMIFS('Portfolio Marks'!$G:$G,'Portfolio Marks'!$D:$D,B17)-SUMIFS('Portfolio Marks'!$J:$J,'Portfolio Marks'!$D:$D,B17)),2)=0,"OK","ERROR")</f>
        <v>OK</v>
      </c>
    </row>
    <row r="18" customFormat="false" ht="15" hidden="false" customHeight="true" outlineLevel="0" collapsed="false">
      <c r="B18" s="7" t="n">
        <v>15</v>
      </c>
      <c r="C18" s="9" t="str">
        <f aca="false">Quarters!$E$18</f>
        <v>Q3 2025</v>
      </c>
      <c r="D18" s="22" t="n">
        <f aca="false">J17</f>
        <v>57954211.79</v>
      </c>
      <c r="E18" s="25" t="n">
        <f aca="false">'Capital Call Schedule'!$F$18</f>
        <v>197500</v>
      </c>
      <c r="F18" s="25" t="n">
        <f aca="false">-'Mgmt Fee Schedule'!$G$18</f>
        <v>-197500</v>
      </c>
      <c r="G18" s="22" t="n">
        <f aca="false">SUMIFS('Portfolio Marks'!$L:$L,'Portfolio Marks'!$D:$D,B18)</f>
        <v>5493565.54</v>
      </c>
      <c r="H18" s="22" t="n">
        <f aca="false">(SUMIFS('Portfolio Marks'!$G:$G,'Portfolio Marks'!$D:$D,B18)-SUMIFS('Portfolio Marks'!$J:$J,'Portfolio Marks'!$D:$D,B18))-D18-E18+'Mgmt Fee Schedule'!$G$18-G18+'Distribution Waterfall'!$D$18</f>
        <v>-2629954.19</v>
      </c>
      <c r="I18" s="25" t="n">
        <f aca="false">-'Distribution Waterfall'!$D$18</f>
        <v>-10993565.54</v>
      </c>
      <c r="J18" s="26" t="n">
        <f aca="false">D18+E18+F18+G18+H18+I18</f>
        <v>49824257.6</v>
      </c>
      <c r="K18" s="7" t="str">
        <f aca="false">IF(ROUND(J18-(SUMIFS('Portfolio Marks'!$G:$G,'Portfolio Marks'!$D:$D,B18)-SUMIFS('Portfolio Marks'!$J:$J,'Portfolio Marks'!$D:$D,B18)),2)=0,"OK","ERROR")</f>
        <v>OK</v>
      </c>
    </row>
    <row r="19" customFormat="false" ht="15" hidden="false" customHeight="true" outlineLevel="0" collapsed="false">
      <c r="B19" s="7" t="n">
        <v>16</v>
      </c>
      <c r="C19" s="9" t="str">
        <f aca="false">Quarters!$E$19</f>
        <v>Q4 2025</v>
      </c>
      <c r="D19" s="22" t="n">
        <f aca="false">J18</f>
        <v>49824257.6</v>
      </c>
      <c r="E19" s="25" t="n">
        <f aca="false">'Capital Call Schedule'!$F$19</f>
        <v>197500</v>
      </c>
      <c r="F19" s="25" t="n">
        <f aca="false">-'Mgmt Fee Schedule'!$G$19</f>
        <v>-197500</v>
      </c>
      <c r="G19" s="22" t="n">
        <f aca="false">SUMIFS('Portfolio Marks'!$L:$L,'Portfolio Marks'!$D:$D,B19)</f>
        <v>0</v>
      </c>
      <c r="H19" s="22" t="n">
        <f aca="false">(SUMIFS('Portfolio Marks'!$G:$G,'Portfolio Marks'!$D:$D,B19)-SUMIFS('Portfolio Marks'!$J:$J,'Portfolio Marks'!$D:$D,B19))-D19-E19+'Mgmt Fee Schedule'!$G$19-G19+'Distribution Waterfall'!$D$19</f>
        <v>2378162.43</v>
      </c>
      <c r="I19" s="25" t="n">
        <f aca="false">-'Distribution Waterfall'!$D$19</f>
        <v>-0</v>
      </c>
      <c r="J19" s="26" t="n">
        <f aca="false">D19+E19+F19+G19+H19+I19</f>
        <v>52202420.03</v>
      </c>
      <c r="K19" s="7" t="str">
        <f aca="false">IF(ROUND(J19-(SUMIFS('Portfolio Marks'!$G:$G,'Portfolio Marks'!$D:$D,B19)-SUMIFS('Portfolio Marks'!$J:$J,'Portfolio Marks'!$D:$D,B19)),2)=0,"OK","ERROR")</f>
        <v>OK</v>
      </c>
    </row>
    <row r="20" customFormat="false" ht="15" hidden="false" customHeight="true" outlineLevel="0" collapsed="false">
      <c r="B20" s="7" t="n">
        <v>17</v>
      </c>
      <c r="C20" s="9" t="str">
        <f aca="false">Quarters!$E$20</f>
        <v>Q1 2026</v>
      </c>
      <c r="D20" s="22" t="n">
        <f aca="false">J19</f>
        <v>52202420.03</v>
      </c>
      <c r="E20" s="25" t="n">
        <f aca="false">'Capital Call Schedule'!$F$20</f>
        <v>170000</v>
      </c>
      <c r="F20" s="25" t="n">
        <f aca="false">-'Mgmt Fee Schedule'!$G$20</f>
        <v>-170000</v>
      </c>
      <c r="G20" s="22" t="n">
        <f aca="false">SUMIFS('Portfolio Marks'!$L:$L,'Portfolio Marks'!$D:$D,B20)</f>
        <v>9803878.73</v>
      </c>
      <c r="H20" s="22" t="n">
        <f aca="false">(SUMIFS('Portfolio Marks'!$G:$G,'Portfolio Marks'!$D:$D,B20)-SUMIFS('Portfolio Marks'!$J:$J,'Portfolio Marks'!$D:$D,B20))-D20-E20+'Mgmt Fee Schedule'!$G$20-G20+'Distribution Waterfall'!$D$20</f>
        <v>-7010181.79000001</v>
      </c>
      <c r="I20" s="25" t="n">
        <f aca="false">-'Distribution Waterfall'!$D$20</f>
        <v>-14803878.73</v>
      </c>
      <c r="J20" s="26" t="n">
        <f aca="false">D20+E20+F20+G20+H20+I20</f>
        <v>40192238.24</v>
      </c>
      <c r="K20" s="7" t="str">
        <f aca="false">IF(ROUND(J20-(SUMIFS('Portfolio Marks'!$G:$G,'Portfolio Marks'!$D:$D,B20)-SUMIFS('Portfolio Marks'!$J:$J,'Portfolio Marks'!$D:$D,B20)),2)=0,"OK","ERROR")</f>
        <v>OK</v>
      </c>
    </row>
    <row r="21" customFormat="false" ht="15" hidden="false" customHeight="true" outlineLevel="0" collapsed="false">
      <c r="B21" s="7" t="n">
        <v>18</v>
      </c>
      <c r="C21" s="9" t="str">
        <f aca="false">Quarters!$E$21</f>
        <v>Q2 2026</v>
      </c>
      <c r="D21" s="22" t="n">
        <f aca="false">J20</f>
        <v>40192238.24</v>
      </c>
      <c r="E21" s="25" t="n">
        <f aca="false">'Capital Call Schedule'!$F$21</f>
        <v>170000</v>
      </c>
      <c r="F21" s="25" t="n">
        <f aca="false">-'Mgmt Fee Schedule'!$G$21</f>
        <v>-170000</v>
      </c>
      <c r="G21" s="22" t="n">
        <f aca="false">SUMIFS('Portfolio Marks'!$L:$L,'Portfolio Marks'!$D:$D,B21)</f>
        <v>8495229.19</v>
      </c>
      <c r="H21" s="22" t="n">
        <f aca="false">(SUMIFS('Portfolio Marks'!$G:$G,'Portfolio Marks'!$D:$D,B21)-SUMIFS('Portfolio Marks'!$J:$J,'Portfolio Marks'!$D:$D,B21))-D21-E21+'Mgmt Fee Schedule'!$G$21-G21+'Distribution Waterfall'!$D$21</f>
        <v>-6991460.6</v>
      </c>
      <c r="I21" s="25" t="n">
        <f aca="false">-'Distribution Waterfall'!$D$21</f>
        <v>-19995229.19</v>
      </c>
      <c r="J21" s="26" t="n">
        <f aca="false">D21+E21+F21+G21+H21+I21</f>
        <v>21700777.64</v>
      </c>
      <c r="K21" s="7" t="str">
        <f aca="false">IF(ROUND(J21-(SUMIFS('Portfolio Marks'!$G:$G,'Portfolio Marks'!$D:$D,B21)-SUMIFS('Portfolio Marks'!$J:$J,'Portfolio Marks'!$D:$D,B21)),2)=0,"OK","ERROR")</f>
        <v>OK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4" min="4" style="1" width="8"/>
    <col collapsed="false" customWidth="true" hidden="false" outlineLevel="0" max="5" min="5" style="1" width="26"/>
    <col collapsed="false" customWidth="true" hidden="false" outlineLevel="0" max="8" min="6" style="1" width="16"/>
  </cols>
  <sheetData>
    <row r="1" customFormat="false" ht="21.75" hidden="false" customHeight="true" outlineLevel="0" collapsed="false">
      <c r="A1" s="2" t="s">
        <v>25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230</v>
      </c>
      <c r="B2" s="3"/>
      <c r="C2" s="3"/>
      <c r="D2" s="3"/>
      <c r="E2" s="3"/>
      <c r="F2" s="3"/>
    </row>
    <row r="3" customFormat="false" ht="23.25" hidden="false" customHeight="true" outlineLevel="0" collapsed="false">
      <c r="B3" s="15" t="s">
        <v>175</v>
      </c>
      <c r="C3" s="15" t="s">
        <v>69</v>
      </c>
      <c r="D3" s="15" t="s">
        <v>92</v>
      </c>
      <c r="E3" s="15" t="s">
        <v>93</v>
      </c>
      <c r="F3" s="15" t="s">
        <v>191</v>
      </c>
      <c r="G3" s="15" t="s">
        <v>192</v>
      </c>
      <c r="H3" s="15" t="s">
        <v>193</v>
      </c>
    </row>
    <row r="4" customFormat="false" ht="15" hidden="false" customHeight="true" outlineLevel="0" collapsed="false">
      <c r="B4" s="7" t="n">
        <v>1</v>
      </c>
      <c r="C4" s="9" t="str">
        <f aca="false">Quarters!$E$4</f>
        <v>Q1 2022</v>
      </c>
      <c r="D4" s="7" t="s">
        <v>97</v>
      </c>
      <c r="E4" s="7" t="s">
        <v>98</v>
      </c>
      <c r="F4" s="25" t="n">
        <f aca="false">'Capital Call Schedule'!$D$4*'LP Register'!$F$4</f>
        <v>960000</v>
      </c>
      <c r="G4" s="25" t="n">
        <f aca="false">'Capital Call Schedule'!$E$4*'LP Register'!$F$4</f>
        <v>40000</v>
      </c>
      <c r="H4" s="22" t="n">
        <f aca="false">F4+G4</f>
        <v>1000000</v>
      </c>
    </row>
    <row r="5" customFormat="false" ht="15" hidden="false" customHeight="true" outlineLevel="0" collapsed="false">
      <c r="B5" s="7" t="n">
        <v>1</v>
      </c>
      <c r="C5" s="9" t="str">
        <f aca="false">Quarters!$E$4</f>
        <v>Q1 2022</v>
      </c>
      <c r="D5" s="7" t="s">
        <v>100</v>
      </c>
      <c r="E5" s="7" t="s">
        <v>101</v>
      </c>
      <c r="F5" s="25" t="n">
        <f aca="false">'Capital Call Schedule'!$D$4*'LP Register'!$F$5</f>
        <v>720000</v>
      </c>
      <c r="G5" s="25" t="n">
        <f aca="false">'Capital Call Schedule'!$E$4*'LP Register'!$F$5</f>
        <v>30000</v>
      </c>
      <c r="H5" s="22" t="n">
        <f aca="false">F5+G5</f>
        <v>750000</v>
      </c>
    </row>
    <row r="6" customFormat="false" ht="15" hidden="false" customHeight="true" outlineLevel="0" collapsed="false">
      <c r="B6" s="7" t="n">
        <v>1</v>
      </c>
      <c r="C6" s="9" t="str">
        <f aca="false">Quarters!$E$4</f>
        <v>Q1 2022</v>
      </c>
      <c r="D6" s="7" t="s">
        <v>103</v>
      </c>
      <c r="E6" s="7" t="s">
        <v>104</v>
      </c>
      <c r="F6" s="25" t="n">
        <f aca="false">'Capital Call Schedule'!$D$4*'LP Register'!$F$6</f>
        <v>660000</v>
      </c>
      <c r="G6" s="25" t="n">
        <f aca="false">'Capital Call Schedule'!$E$4*'LP Register'!$F$6</f>
        <v>27500</v>
      </c>
      <c r="H6" s="22" t="n">
        <f aca="false">F6+G6</f>
        <v>687500</v>
      </c>
    </row>
    <row r="7" customFormat="false" ht="15" hidden="false" customHeight="true" outlineLevel="0" collapsed="false">
      <c r="B7" s="7" t="n">
        <v>1</v>
      </c>
      <c r="C7" s="9" t="str">
        <f aca="false">Quarters!$E$4</f>
        <v>Q1 2022</v>
      </c>
      <c r="D7" s="7" t="s">
        <v>106</v>
      </c>
      <c r="E7" s="7" t="s">
        <v>107</v>
      </c>
      <c r="F7" s="25" t="n">
        <f aca="false">'Capital Call Schedule'!$D$4*'LP Register'!$F$7</f>
        <v>600000</v>
      </c>
      <c r="G7" s="25" t="n">
        <f aca="false">'Capital Call Schedule'!$E$4*'LP Register'!$F$7</f>
        <v>25000</v>
      </c>
      <c r="H7" s="22" t="n">
        <f aca="false">F7+G7</f>
        <v>625000</v>
      </c>
    </row>
    <row r="8" customFormat="false" ht="15" hidden="false" customHeight="true" outlineLevel="0" collapsed="false">
      <c r="B8" s="7" t="n">
        <v>1</v>
      </c>
      <c r="C8" s="9" t="str">
        <f aca="false">Quarters!$E$4</f>
        <v>Q1 2022</v>
      </c>
      <c r="D8" s="7" t="s">
        <v>109</v>
      </c>
      <c r="E8" s="7" t="s">
        <v>110</v>
      </c>
      <c r="F8" s="25" t="n">
        <f aca="false">'Capital Call Schedule'!$D$4*'LP Register'!$F$8</f>
        <v>480000</v>
      </c>
      <c r="G8" s="25" t="n">
        <f aca="false">'Capital Call Schedule'!$E$4*'LP Register'!$F$8</f>
        <v>20000</v>
      </c>
      <c r="H8" s="22" t="n">
        <f aca="false">F8+G8</f>
        <v>500000</v>
      </c>
    </row>
    <row r="9" customFormat="false" ht="15" hidden="false" customHeight="true" outlineLevel="0" collapsed="false">
      <c r="B9" s="7" t="n">
        <v>1</v>
      </c>
      <c r="C9" s="9" t="str">
        <f aca="false">Quarters!$E$4</f>
        <v>Q1 2022</v>
      </c>
      <c r="D9" s="7" t="s">
        <v>112</v>
      </c>
      <c r="E9" s="7" t="s">
        <v>113</v>
      </c>
      <c r="F9" s="25" t="n">
        <f aca="false">'Capital Call Schedule'!$D$4*'LP Register'!$F$9</f>
        <v>480000</v>
      </c>
      <c r="G9" s="25" t="n">
        <f aca="false">'Capital Call Schedule'!$E$4*'LP Register'!$F$9</f>
        <v>20000</v>
      </c>
      <c r="H9" s="22" t="n">
        <f aca="false">F9+G9</f>
        <v>500000</v>
      </c>
    </row>
    <row r="10" customFormat="false" ht="15" hidden="false" customHeight="true" outlineLevel="0" collapsed="false">
      <c r="B10" s="7" t="n">
        <v>1</v>
      </c>
      <c r="C10" s="9" t="str">
        <f aca="false">Quarters!$E$4</f>
        <v>Q1 2022</v>
      </c>
      <c r="D10" s="7" t="s">
        <v>115</v>
      </c>
      <c r="E10" s="7" t="s">
        <v>116</v>
      </c>
      <c r="F10" s="25" t="n">
        <f aca="false">'Capital Call Schedule'!$D$4*'LP Register'!$F$10</f>
        <v>360000</v>
      </c>
      <c r="G10" s="25" t="n">
        <f aca="false">'Capital Call Schedule'!$E$4*'LP Register'!$F$10</f>
        <v>15000</v>
      </c>
      <c r="H10" s="22" t="n">
        <f aca="false">F10+G10</f>
        <v>375000</v>
      </c>
    </row>
    <row r="11" customFormat="false" ht="15" hidden="false" customHeight="true" outlineLevel="0" collapsed="false">
      <c r="B11" s="7" t="n">
        <v>1</v>
      </c>
      <c r="C11" s="9" t="str">
        <f aca="false">Quarters!$E$4</f>
        <v>Q1 2022</v>
      </c>
      <c r="D11" s="7" t="s">
        <v>117</v>
      </c>
      <c r="E11" s="7" t="s">
        <v>118</v>
      </c>
      <c r="F11" s="25" t="n">
        <f aca="false">'Capital Call Schedule'!$D$4*'LP Register'!$F$11</f>
        <v>300000</v>
      </c>
      <c r="G11" s="25" t="n">
        <f aca="false">'Capital Call Schedule'!$E$4*'LP Register'!$F$11</f>
        <v>12500</v>
      </c>
      <c r="H11" s="22" t="n">
        <f aca="false">F11+G11</f>
        <v>312500</v>
      </c>
    </row>
    <row r="12" customFormat="false" ht="15" hidden="false" customHeight="true" outlineLevel="0" collapsed="false">
      <c r="B12" s="7" t="n">
        <v>1</v>
      </c>
      <c r="C12" s="9" t="str">
        <f aca="false">Quarters!$E$4</f>
        <v>Q1 2022</v>
      </c>
      <c r="D12" s="7" t="s">
        <v>119</v>
      </c>
      <c r="E12" s="7" t="s">
        <v>120</v>
      </c>
      <c r="F12" s="25" t="n">
        <f aca="false">'Capital Call Schedule'!$D$4*'LP Register'!$F$12</f>
        <v>240000</v>
      </c>
      <c r="G12" s="25" t="n">
        <f aca="false">'Capital Call Schedule'!$E$4*'LP Register'!$F$12</f>
        <v>10000</v>
      </c>
      <c r="H12" s="22" t="n">
        <f aca="false">F12+G12</f>
        <v>250000</v>
      </c>
    </row>
    <row r="13" customFormat="false" ht="15" hidden="false" customHeight="true" outlineLevel="0" collapsed="false">
      <c r="B13" s="7" t="n">
        <v>1</v>
      </c>
      <c r="C13" s="9" t="str">
        <f aca="false">Quarters!$E$4</f>
        <v>Q1 2022</v>
      </c>
      <c r="D13" s="7" t="s">
        <v>121</v>
      </c>
      <c r="E13" s="7" t="s">
        <v>122</v>
      </c>
      <c r="F13" s="25" t="n">
        <f aca="false">'Capital Call Schedule'!$D$4*'LP Register'!$F$13</f>
        <v>240000</v>
      </c>
      <c r="G13" s="25" t="n">
        <f aca="false">'Capital Call Schedule'!$E$4*'LP Register'!$F$13</f>
        <v>10000</v>
      </c>
      <c r="H13" s="22" t="n">
        <f aca="false">F13+G13</f>
        <v>250000</v>
      </c>
    </row>
    <row r="14" customFormat="false" ht="15" hidden="false" customHeight="true" outlineLevel="0" collapsed="false">
      <c r="B14" s="7" t="n">
        <v>1</v>
      </c>
      <c r="C14" s="9" t="str">
        <f aca="false">Quarters!$E$4</f>
        <v>Q1 2022</v>
      </c>
      <c r="D14" s="7" t="s">
        <v>124</v>
      </c>
      <c r="E14" s="7" t="s">
        <v>125</v>
      </c>
      <c r="F14" s="25" t="n">
        <f aca="false">'Capital Call Schedule'!$D$4*'LP Register'!$F$14</f>
        <v>216000</v>
      </c>
      <c r="G14" s="25" t="n">
        <f aca="false">'Capital Call Schedule'!$E$4*'LP Register'!$F$14</f>
        <v>9000</v>
      </c>
      <c r="H14" s="22" t="n">
        <f aca="false">F14+G14</f>
        <v>225000</v>
      </c>
    </row>
    <row r="15" customFormat="false" ht="15" hidden="false" customHeight="true" outlineLevel="0" collapsed="false">
      <c r="B15" s="7" t="n">
        <v>1</v>
      </c>
      <c r="C15" s="9" t="str">
        <f aca="false">Quarters!$E$4</f>
        <v>Q1 2022</v>
      </c>
      <c r="D15" s="7" t="s">
        <v>126</v>
      </c>
      <c r="E15" s="7" t="s">
        <v>127</v>
      </c>
      <c r="F15" s="25" t="n">
        <f aca="false">'Capital Call Schedule'!$D$4*'LP Register'!$F$15</f>
        <v>180000</v>
      </c>
      <c r="G15" s="25" t="n">
        <f aca="false">'Capital Call Schedule'!$E$4*'LP Register'!$F$15</f>
        <v>7500</v>
      </c>
      <c r="H15" s="22" t="n">
        <f aca="false">F15+G15</f>
        <v>187500</v>
      </c>
    </row>
    <row r="16" customFormat="false" ht="15" hidden="false" customHeight="true" outlineLevel="0" collapsed="false">
      <c r="B16" s="7" t="n">
        <v>1</v>
      </c>
      <c r="C16" s="9" t="str">
        <f aca="false">Quarters!$E$4</f>
        <v>Q1 2022</v>
      </c>
      <c r="D16" s="7" t="s">
        <v>128</v>
      </c>
      <c r="E16" s="7" t="s">
        <v>129</v>
      </c>
      <c r="F16" s="25" t="n">
        <f aca="false">'Capital Call Schedule'!$D$4*'LP Register'!$F$16</f>
        <v>180000</v>
      </c>
      <c r="G16" s="25" t="n">
        <f aca="false">'Capital Call Schedule'!$E$4*'LP Register'!$F$16</f>
        <v>7500</v>
      </c>
      <c r="H16" s="22" t="n">
        <f aca="false">F16+G16</f>
        <v>187500</v>
      </c>
    </row>
    <row r="17" customFormat="false" ht="15" hidden="false" customHeight="true" outlineLevel="0" collapsed="false">
      <c r="B17" s="7" t="n">
        <v>1</v>
      </c>
      <c r="C17" s="9" t="str">
        <f aca="false">Quarters!$E$4</f>
        <v>Q1 2022</v>
      </c>
      <c r="D17" s="7" t="s">
        <v>130</v>
      </c>
      <c r="E17" s="7" t="s">
        <v>131</v>
      </c>
      <c r="F17" s="25" t="n">
        <f aca="false">'Capital Call Schedule'!$D$4*'LP Register'!$F$17</f>
        <v>192000</v>
      </c>
      <c r="G17" s="25" t="n">
        <f aca="false">'Capital Call Schedule'!$E$4*'LP Register'!$F$17</f>
        <v>8000</v>
      </c>
      <c r="H17" s="22" t="n">
        <f aca="false">F17+G17</f>
        <v>200000</v>
      </c>
    </row>
    <row r="18" customFormat="false" ht="15" hidden="false" customHeight="true" outlineLevel="0" collapsed="false">
      <c r="B18" s="7" t="n">
        <v>1</v>
      </c>
      <c r="C18" s="9" t="str">
        <f aca="false">Quarters!$E$4</f>
        <v>Q1 2022</v>
      </c>
      <c r="D18" s="7" t="s">
        <v>132</v>
      </c>
      <c r="E18" s="7" t="s">
        <v>133</v>
      </c>
      <c r="F18" s="25" t="n">
        <f aca="false">'Capital Call Schedule'!$D$4*'LP Register'!$F$18</f>
        <v>192000</v>
      </c>
      <c r="G18" s="25" t="n">
        <f aca="false">'Capital Call Schedule'!$E$4*'LP Register'!$F$18</f>
        <v>8000</v>
      </c>
      <c r="H18" s="22" t="n">
        <f aca="false">F18+G18</f>
        <v>200000</v>
      </c>
    </row>
    <row r="19" customFormat="false" ht="15" hidden="false" customHeight="true" outlineLevel="0" collapsed="false">
      <c r="B19" s="7" t="n">
        <v>2</v>
      </c>
      <c r="C19" s="9" t="str">
        <f aca="false">Quarters!$E$5</f>
        <v>Q2 2022</v>
      </c>
      <c r="D19" s="7" t="s">
        <v>97</v>
      </c>
      <c r="E19" s="7" t="s">
        <v>98</v>
      </c>
      <c r="F19" s="25" t="n">
        <f aca="false">'Capital Call Schedule'!$D$5*'LP Register'!$F$4</f>
        <v>880000</v>
      </c>
      <c r="G19" s="25" t="n">
        <f aca="false">'Capital Call Schedule'!$E$5*'LP Register'!$F$4</f>
        <v>40000</v>
      </c>
      <c r="H19" s="22" t="n">
        <f aca="false">F19+G19</f>
        <v>920000</v>
      </c>
    </row>
    <row r="20" customFormat="false" ht="15" hidden="false" customHeight="true" outlineLevel="0" collapsed="false">
      <c r="B20" s="7" t="n">
        <v>2</v>
      </c>
      <c r="C20" s="9" t="str">
        <f aca="false">Quarters!$E$5</f>
        <v>Q2 2022</v>
      </c>
      <c r="D20" s="7" t="s">
        <v>100</v>
      </c>
      <c r="E20" s="7" t="s">
        <v>101</v>
      </c>
      <c r="F20" s="25" t="n">
        <f aca="false">'Capital Call Schedule'!$D$5*'LP Register'!$F$5</f>
        <v>660000</v>
      </c>
      <c r="G20" s="25" t="n">
        <f aca="false">'Capital Call Schedule'!$E$5*'LP Register'!$F$5</f>
        <v>30000</v>
      </c>
      <c r="H20" s="22" t="n">
        <f aca="false">F20+G20</f>
        <v>690000</v>
      </c>
    </row>
    <row r="21" customFormat="false" ht="15" hidden="false" customHeight="true" outlineLevel="0" collapsed="false">
      <c r="B21" s="7" t="n">
        <v>2</v>
      </c>
      <c r="C21" s="9" t="str">
        <f aca="false">Quarters!$E$5</f>
        <v>Q2 2022</v>
      </c>
      <c r="D21" s="7" t="s">
        <v>103</v>
      </c>
      <c r="E21" s="7" t="s">
        <v>104</v>
      </c>
      <c r="F21" s="25" t="n">
        <f aca="false">'Capital Call Schedule'!$D$5*'LP Register'!$F$6</f>
        <v>605000</v>
      </c>
      <c r="G21" s="25" t="n">
        <f aca="false">'Capital Call Schedule'!$E$5*'LP Register'!$F$6</f>
        <v>27500</v>
      </c>
      <c r="H21" s="22" t="n">
        <f aca="false">F21+G21</f>
        <v>632500</v>
      </c>
    </row>
    <row r="22" customFormat="false" ht="15" hidden="false" customHeight="true" outlineLevel="0" collapsed="false">
      <c r="B22" s="7" t="n">
        <v>2</v>
      </c>
      <c r="C22" s="9" t="str">
        <f aca="false">Quarters!$E$5</f>
        <v>Q2 2022</v>
      </c>
      <c r="D22" s="7" t="s">
        <v>106</v>
      </c>
      <c r="E22" s="7" t="s">
        <v>107</v>
      </c>
      <c r="F22" s="25" t="n">
        <f aca="false">'Capital Call Schedule'!$D$5*'LP Register'!$F$7</f>
        <v>550000</v>
      </c>
      <c r="G22" s="25" t="n">
        <f aca="false">'Capital Call Schedule'!$E$5*'LP Register'!$F$7</f>
        <v>25000</v>
      </c>
      <c r="H22" s="22" t="n">
        <f aca="false">F22+G22</f>
        <v>575000</v>
      </c>
    </row>
    <row r="23" customFormat="false" ht="15" hidden="false" customHeight="true" outlineLevel="0" collapsed="false">
      <c r="B23" s="7" t="n">
        <v>2</v>
      </c>
      <c r="C23" s="9" t="str">
        <f aca="false">Quarters!$E$5</f>
        <v>Q2 2022</v>
      </c>
      <c r="D23" s="7" t="s">
        <v>109</v>
      </c>
      <c r="E23" s="7" t="s">
        <v>110</v>
      </c>
      <c r="F23" s="25" t="n">
        <f aca="false">'Capital Call Schedule'!$D$5*'LP Register'!$F$8</f>
        <v>440000</v>
      </c>
      <c r="G23" s="25" t="n">
        <f aca="false">'Capital Call Schedule'!$E$5*'LP Register'!$F$8</f>
        <v>20000</v>
      </c>
      <c r="H23" s="22" t="n">
        <f aca="false">F23+G23</f>
        <v>460000</v>
      </c>
    </row>
    <row r="24" customFormat="false" ht="15" hidden="false" customHeight="true" outlineLevel="0" collapsed="false">
      <c r="B24" s="7" t="n">
        <v>2</v>
      </c>
      <c r="C24" s="9" t="str">
        <f aca="false">Quarters!$E$5</f>
        <v>Q2 2022</v>
      </c>
      <c r="D24" s="7" t="s">
        <v>112</v>
      </c>
      <c r="E24" s="7" t="s">
        <v>113</v>
      </c>
      <c r="F24" s="25" t="n">
        <f aca="false">'Capital Call Schedule'!$D$5*'LP Register'!$F$9</f>
        <v>440000</v>
      </c>
      <c r="G24" s="25" t="n">
        <f aca="false">'Capital Call Schedule'!$E$5*'LP Register'!$F$9</f>
        <v>20000</v>
      </c>
      <c r="H24" s="22" t="n">
        <f aca="false">F24+G24</f>
        <v>460000</v>
      </c>
    </row>
    <row r="25" customFormat="false" ht="15" hidden="false" customHeight="true" outlineLevel="0" collapsed="false">
      <c r="B25" s="7" t="n">
        <v>2</v>
      </c>
      <c r="C25" s="9" t="str">
        <f aca="false">Quarters!$E$5</f>
        <v>Q2 2022</v>
      </c>
      <c r="D25" s="7" t="s">
        <v>115</v>
      </c>
      <c r="E25" s="7" t="s">
        <v>116</v>
      </c>
      <c r="F25" s="25" t="n">
        <f aca="false">'Capital Call Schedule'!$D$5*'LP Register'!$F$10</f>
        <v>330000</v>
      </c>
      <c r="G25" s="25" t="n">
        <f aca="false">'Capital Call Schedule'!$E$5*'LP Register'!$F$10</f>
        <v>15000</v>
      </c>
      <c r="H25" s="22" t="n">
        <f aca="false">F25+G25</f>
        <v>345000</v>
      </c>
    </row>
    <row r="26" customFormat="false" ht="15" hidden="false" customHeight="true" outlineLevel="0" collapsed="false">
      <c r="B26" s="7" t="n">
        <v>2</v>
      </c>
      <c r="C26" s="9" t="str">
        <f aca="false">Quarters!$E$5</f>
        <v>Q2 2022</v>
      </c>
      <c r="D26" s="7" t="s">
        <v>117</v>
      </c>
      <c r="E26" s="7" t="s">
        <v>118</v>
      </c>
      <c r="F26" s="25" t="n">
        <f aca="false">'Capital Call Schedule'!$D$5*'LP Register'!$F$11</f>
        <v>275000</v>
      </c>
      <c r="G26" s="25" t="n">
        <f aca="false">'Capital Call Schedule'!$E$5*'LP Register'!$F$11</f>
        <v>12500</v>
      </c>
      <c r="H26" s="22" t="n">
        <f aca="false">F26+G26</f>
        <v>287500</v>
      </c>
    </row>
    <row r="27" customFormat="false" ht="15" hidden="false" customHeight="true" outlineLevel="0" collapsed="false">
      <c r="B27" s="7" t="n">
        <v>2</v>
      </c>
      <c r="C27" s="9" t="str">
        <f aca="false">Quarters!$E$5</f>
        <v>Q2 2022</v>
      </c>
      <c r="D27" s="7" t="s">
        <v>119</v>
      </c>
      <c r="E27" s="7" t="s">
        <v>120</v>
      </c>
      <c r="F27" s="25" t="n">
        <f aca="false">'Capital Call Schedule'!$D$5*'LP Register'!$F$12</f>
        <v>220000</v>
      </c>
      <c r="G27" s="25" t="n">
        <f aca="false">'Capital Call Schedule'!$E$5*'LP Register'!$F$12</f>
        <v>10000</v>
      </c>
      <c r="H27" s="22" t="n">
        <f aca="false">F27+G27</f>
        <v>230000</v>
      </c>
    </row>
    <row r="28" customFormat="false" ht="15" hidden="false" customHeight="true" outlineLevel="0" collapsed="false">
      <c r="B28" s="7" t="n">
        <v>2</v>
      </c>
      <c r="C28" s="9" t="str">
        <f aca="false">Quarters!$E$5</f>
        <v>Q2 2022</v>
      </c>
      <c r="D28" s="7" t="s">
        <v>121</v>
      </c>
      <c r="E28" s="7" t="s">
        <v>122</v>
      </c>
      <c r="F28" s="25" t="n">
        <f aca="false">'Capital Call Schedule'!$D$5*'LP Register'!$F$13</f>
        <v>220000</v>
      </c>
      <c r="G28" s="25" t="n">
        <f aca="false">'Capital Call Schedule'!$E$5*'LP Register'!$F$13</f>
        <v>10000</v>
      </c>
      <c r="H28" s="22" t="n">
        <f aca="false">F28+G28</f>
        <v>230000</v>
      </c>
    </row>
    <row r="29" customFormat="false" ht="15" hidden="false" customHeight="true" outlineLevel="0" collapsed="false">
      <c r="B29" s="7" t="n">
        <v>2</v>
      </c>
      <c r="C29" s="9" t="str">
        <f aca="false">Quarters!$E$5</f>
        <v>Q2 2022</v>
      </c>
      <c r="D29" s="7" t="s">
        <v>124</v>
      </c>
      <c r="E29" s="7" t="s">
        <v>125</v>
      </c>
      <c r="F29" s="25" t="n">
        <f aca="false">'Capital Call Schedule'!$D$5*'LP Register'!$F$14</f>
        <v>198000</v>
      </c>
      <c r="G29" s="25" t="n">
        <f aca="false">'Capital Call Schedule'!$E$5*'LP Register'!$F$14</f>
        <v>9000</v>
      </c>
      <c r="H29" s="22" t="n">
        <f aca="false">F29+G29</f>
        <v>207000</v>
      </c>
    </row>
    <row r="30" customFormat="false" ht="15" hidden="false" customHeight="true" outlineLevel="0" collapsed="false">
      <c r="B30" s="7" t="n">
        <v>2</v>
      </c>
      <c r="C30" s="9" t="str">
        <f aca="false">Quarters!$E$5</f>
        <v>Q2 2022</v>
      </c>
      <c r="D30" s="7" t="s">
        <v>126</v>
      </c>
      <c r="E30" s="7" t="s">
        <v>127</v>
      </c>
      <c r="F30" s="25" t="n">
        <f aca="false">'Capital Call Schedule'!$D$5*'LP Register'!$F$15</f>
        <v>165000</v>
      </c>
      <c r="G30" s="25" t="n">
        <f aca="false">'Capital Call Schedule'!$E$5*'LP Register'!$F$15</f>
        <v>7500</v>
      </c>
      <c r="H30" s="22" t="n">
        <f aca="false">F30+G30</f>
        <v>172500</v>
      </c>
    </row>
    <row r="31" customFormat="false" ht="15" hidden="false" customHeight="true" outlineLevel="0" collapsed="false">
      <c r="B31" s="7" t="n">
        <v>2</v>
      </c>
      <c r="C31" s="9" t="str">
        <f aca="false">Quarters!$E$5</f>
        <v>Q2 2022</v>
      </c>
      <c r="D31" s="7" t="s">
        <v>128</v>
      </c>
      <c r="E31" s="7" t="s">
        <v>129</v>
      </c>
      <c r="F31" s="25" t="n">
        <f aca="false">'Capital Call Schedule'!$D$5*'LP Register'!$F$16</f>
        <v>165000</v>
      </c>
      <c r="G31" s="25" t="n">
        <f aca="false">'Capital Call Schedule'!$E$5*'LP Register'!$F$16</f>
        <v>7500</v>
      </c>
      <c r="H31" s="22" t="n">
        <f aca="false">F31+G31</f>
        <v>172500</v>
      </c>
    </row>
    <row r="32" customFormat="false" ht="15" hidden="false" customHeight="true" outlineLevel="0" collapsed="false">
      <c r="B32" s="7" t="n">
        <v>2</v>
      </c>
      <c r="C32" s="9" t="str">
        <f aca="false">Quarters!$E$5</f>
        <v>Q2 2022</v>
      </c>
      <c r="D32" s="7" t="s">
        <v>130</v>
      </c>
      <c r="E32" s="7" t="s">
        <v>131</v>
      </c>
      <c r="F32" s="25" t="n">
        <f aca="false">'Capital Call Schedule'!$D$5*'LP Register'!$F$17</f>
        <v>176000</v>
      </c>
      <c r="G32" s="25" t="n">
        <f aca="false">'Capital Call Schedule'!$E$5*'LP Register'!$F$17</f>
        <v>8000</v>
      </c>
      <c r="H32" s="22" t="n">
        <f aca="false">F32+G32</f>
        <v>184000</v>
      </c>
    </row>
    <row r="33" customFormat="false" ht="15" hidden="false" customHeight="true" outlineLevel="0" collapsed="false">
      <c r="B33" s="7" t="n">
        <v>2</v>
      </c>
      <c r="C33" s="9" t="str">
        <f aca="false">Quarters!$E$5</f>
        <v>Q2 2022</v>
      </c>
      <c r="D33" s="7" t="s">
        <v>132</v>
      </c>
      <c r="E33" s="7" t="s">
        <v>133</v>
      </c>
      <c r="F33" s="25" t="n">
        <f aca="false">'Capital Call Schedule'!$D$5*'LP Register'!$F$18</f>
        <v>176000</v>
      </c>
      <c r="G33" s="25" t="n">
        <f aca="false">'Capital Call Schedule'!$E$5*'LP Register'!$F$18</f>
        <v>8000</v>
      </c>
      <c r="H33" s="22" t="n">
        <f aca="false">F33+G33</f>
        <v>184000</v>
      </c>
    </row>
    <row r="34" customFormat="false" ht="15" hidden="false" customHeight="true" outlineLevel="0" collapsed="false">
      <c r="B34" s="7" t="n">
        <v>3</v>
      </c>
      <c r="C34" s="9" t="str">
        <f aca="false">Quarters!$E$6</f>
        <v>Q3 2022</v>
      </c>
      <c r="D34" s="7" t="s">
        <v>97</v>
      </c>
      <c r="E34" s="7" t="s">
        <v>98</v>
      </c>
      <c r="F34" s="25" t="n">
        <f aca="false">'Capital Call Schedule'!$D$6*'LP Register'!$F$4</f>
        <v>720000</v>
      </c>
      <c r="G34" s="25" t="n">
        <f aca="false">'Capital Call Schedule'!$E$6*'LP Register'!$F$4</f>
        <v>40000</v>
      </c>
      <c r="H34" s="22" t="n">
        <f aca="false">F34+G34</f>
        <v>760000</v>
      </c>
    </row>
    <row r="35" customFormat="false" ht="15" hidden="false" customHeight="true" outlineLevel="0" collapsed="false">
      <c r="B35" s="7" t="n">
        <v>3</v>
      </c>
      <c r="C35" s="9" t="str">
        <f aca="false">Quarters!$E$6</f>
        <v>Q3 2022</v>
      </c>
      <c r="D35" s="7" t="s">
        <v>100</v>
      </c>
      <c r="E35" s="7" t="s">
        <v>101</v>
      </c>
      <c r="F35" s="25" t="n">
        <f aca="false">'Capital Call Schedule'!$D$6*'LP Register'!$F$5</f>
        <v>540000</v>
      </c>
      <c r="G35" s="25" t="n">
        <f aca="false">'Capital Call Schedule'!$E$6*'LP Register'!$F$5</f>
        <v>30000</v>
      </c>
      <c r="H35" s="22" t="n">
        <f aca="false">F35+G35</f>
        <v>570000</v>
      </c>
    </row>
    <row r="36" customFormat="false" ht="15" hidden="false" customHeight="true" outlineLevel="0" collapsed="false">
      <c r="B36" s="7" t="n">
        <v>3</v>
      </c>
      <c r="C36" s="9" t="str">
        <f aca="false">Quarters!$E$6</f>
        <v>Q3 2022</v>
      </c>
      <c r="D36" s="7" t="s">
        <v>103</v>
      </c>
      <c r="E36" s="7" t="s">
        <v>104</v>
      </c>
      <c r="F36" s="25" t="n">
        <f aca="false">'Capital Call Schedule'!$D$6*'LP Register'!$F$6</f>
        <v>495000</v>
      </c>
      <c r="G36" s="25" t="n">
        <f aca="false">'Capital Call Schedule'!$E$6*'LP Register'!$F$6</f>
        <v>27500</v>
      </c>
      <c r="H36" s="22" t="n">
        <f aca="false">F36+G36</f>
        <v>522500</v>
      </c>
    </row>
    <row r="37" customFormat="false" ht="15" hidden="false" customHeight="true" outlineLevel="0" collapsed="false">
      <c r="B37" s="7" t="n">
        <v>3</v>
      </c>
      <c r="C37" s="9" t="str">
        <f aca="false">Quarters!$E$6</f>
        <v>Q3 2022</v>
      </c>
      <c r="D37" s="7" t="s">
        <v>106</v>
      </c>
      <c r="E37" s="7" t="s">
        <v>107</v>
      </c>
      <c r="F37" s="25" t="n">
        <f aca="false">'Capital Call Schedule'!$D$6*'LP Register'!$F$7</f>
        <v>450000</v>
      </c>
      <c r="G37" s="25" t="n">
        <f aca="false">'Capital Call Schedule'!$E$6*'LP Register'!$F$7</f>
        <v>25000</v>
      </c>
      <c r="H37" s="22" t="n">
        <f aca="false">F37+G37</f>
        <v>475000</v>
      </c>
    </row>
    <row r="38" customFormat="false" ht="15" hidden="false" customHeight="true" outlineLevel="0" collapsed="false">
      <c r="B38" s="7" t="n">
        <v>3</v>
      </c>
      <c r="C38" s="9" t="str">
        <f aca="false">Quarters!$E$6</f>
        <v>Q3 2022</v>
      </c>
      <c r="D38" s="7" t="s">
        <v>109</v>
      </c>
      <c r="E38" s="7" t="s">
        <v>110</v>
      </c>
      <c r="F38" s="25" t="n">
        <f aca="false">'Capital Call Schedule'!$D$6*'LP Register'!$F$8</f>
        <v>360000</v>
      </c>
      <c r="G38" s="25" t="n">
        <f aca="false">'Capital Call Schedule'!$E$6*'LP Register'!$F$8</f>
        <v>20000</v>
      </c>
      <c r="H38" s="22" t="n">
        <f aca="false">F38+G38</f>
        <v>380000</v>
      </c>
    </row>
    <row r="39" customFormat="false" ht="15" hidden="false" customHeight="true" outlineLevel="0" collapsed="false">
      <c r="B39" s="7" t="n">
        <v>3</v>
      </c>
      <c r="C39" s="9" t="str">
        <f aca="false">Quarters!$E$6</f>
        <v>Q3 2022</v>
      </c>
      <c r="D39" s="7" t="s">
        <v>112</v>
      </c>
      <c r="E39" s="7" t="s">
        <v>113</v>
      </c>
      <c r="F39" s="25" t="n">
        <f aca="false">'Capital Call Schedule'!$D$6*'LP Register'!$F$9</f>
        <v>360000</v>
      </c>
      <c r="G39" s="25" t="n">
        <f aca="false">'Capital Call Schedule'!$E$6*'LP Register'!$F$9</f>
        <v>20000</v>
      </c>
      <c r="H39" s="22" t="n">
        <f aca="false">F39+G39</f>
        <v>380000</v>
      </c>
    </row>
    <row r="40" customFormat="false" ht="15" hidden="false" customHeight="true" outlineLevel="0" collapsed="false">
      <c r="B40" s="7" t="n">
        <v>3</v>
      </c>
      <c r="C40" s="9" t="str">
        <f aca="false">Quarters!$E$6</f>
        <v>Q3 2022</v>
      </c>
      <c r="D40" s="7" t="s">
        <v>115</v>
      </c>
      <c r="E40" s="7" t="s">
        <v>116</v>
      </c>
      <c r="F40" s="25" t="n">
        <f aca="false">'Capital Call Schedule'!$D$6*'LP Register'!$F$10</f>
        <v>270000</v>
      </c>
      <c r="G40" s="25" t="n">
        <f aca="false">'Capital Call Schedule'!$E$6*'LP Register'!$F$10</f>
        <v>15000</v>
      </c>
      <c r="H40" s="22" t="n">
        <f aca="false">F40+G40</f>
        <v>285000</v>
      </c>
    </row>
    <row r="41" customFormat="false" ht="15" hidden="false" customHeight="true" outlineLevel="0" collapsed="false">
      <c r="B41" s="7" t="n">
        <v>3</v>
      </c>
      <c r="C41" s="9" t="str">
        <f aca="false">Quarters!$E$6</f>
        <v>Q3 2022</v>
      </c>
      <c r="D41" s="7" t="s">
        <v>117</v>
      </c>
      <c r="E41" s="7" t="s">
        <v>118</v>
      </c>
      <c r="F41" s="25" t="n">
        <f aca="false">'Capital Call Schedule'!$D$6*'LP Register'!$F$11</f>
        <v>225000</v>
      </c>
      <c r="G41" s="25" t="n">
        <f aca="false">'Capital Call Schedule'!$E$6*'LP Register'!$F$11</f>
        <v>12500</v>
      </c>
      <c r="H41" s="22" t="n">
        <f aca="false">F41+G41</f>
        <v>237500</v>
      </c>
    </row>
    <row r="42" customFormat="false" ht="15" hidden="false" customHeight="true" outlineLevel="0" collapsed="false">
      <c r="B42" s="7" t="n">
        <v>3</v>
      </c>
      <c r="C42" s="9" t="str">
        <f aca="false">Quarters!$E$6</f>
        <v>Q3 2022</v>
      </c>
      <c r="D42" s="7" t="s">
        <v>119</v>
      </c>
      <c r="E42" s="7" t="s">
        <v>120</v>
      </c>
      <c r="F42" s="25" t="n">
        <f aca="false">'Capital Call Schedule'!$D$6*'LP Register'!$F$12</f>
        <v>180000</v>
      </c>
      <c r="G42" s="25" t="n">
        <f aca="false">'Capital Call Schedule'!$E$6*'LP Register'!$F$12</f>
        <v>10000</v>
      </c>
      <c r="H42" s="22" t="n">
        <f aca="false">F42+G42</f>
        <v>190000</v>
      </c>
    </row>
    <row r="43" customFormat="false" ht="15" hidden="false" customHeight="true" outlineLevel="0" collapsed="false">
      <c r="B43" s="7" t="n">
        <v>3</v>
      </c>
      <c r="C43" s="9" t="str">
        <f aca="false">Quarters!$E$6</f>
        <v>Q3 2022</v>
      </c>
      <c r="D43" s="7" t="s">
        <v>121</v>
      </c>
      <c r="E43" s="7" t="s">
        <v>122</v>
      </c>
      <c r="F43" s="25" t="n">
        <f aca="false">'Capital Call Schedule'!$D$6*'LP Register'!$F$13</f>
        <v>180000</v>
      </c>
      <c r="G43" s="25" t="n">
        <f aca="false">'Capital Call Schedule'!$E$6*'LP Register'!$F$13</f>
        <v>10000</v>
      </c>
      <c r="H43" s="22" t="n">
        <f aca="false">F43+G43</f>
        <v>190000</v>
      </c>
    </row>
    <row r="44" customFormat="false" ht="15" hidden="false" customHeight="true" outlineLevel="0" collapsed="false">
      <c r="B44" s="7" t="n">
        <v>3</v>
      </c>
      <c r="C44" s="9" t="str">
        <f aca="false">Quarters!$E$6</f>
        <v>Q3 2022</v>
      </c>
      <c r="D44" s="7" t="s">
        <v>124</v>
      </c>
      <c r="E44" s="7" t="s">
        <v>125</v>
      </c>
      <c r="F44" s="25" t="n">
        <f aca="false">'Capital Call Schedule'!$D$6*'LP Register'!$F$14</f>
        <v>162000</v>
      </c>
      <c r="G44" s="25" t="n">
        <f aca="false">'Capital Call Schedule'!$E$6*'LP Register'!$F$14</f>
        <v>9000</v>
      </c>
      <c r="H44" s="22" t="n">
        <f aca="false">F44+G44</f>
        <v>171000</v>
      </c>
    </row>
    <row r="45" customFormat="false" ht="15" hidden="false" customHeight="true" outlineLevel="0" collapsed="false">
      <c r="B45" s="7" t="n">
        <v>3</v>
      </c>
      <c r="C45" s="9" t="str">
        <f aca="false">Quarters!$E$6</f>
        <v>Q3 2022</v>
      </c>
      <c r="D45" s="7" t="s">
        <v>126</v>
      </c>
      <c r="E45" s="7" t="s">
        <v>127</v>
      </c>
      <c r="F45" s="25" t="n">
        <f aca="false">'Capital Call Schedule'!$D$6*'LP Register'!$F$15</f>
        <v>135000</v>
      </c>
      <c r="G45" s="25" t="n">
        <f aca="false">'Capital Call Schedule'!$E$6*'LP Register'!$F$15</f>
        <v>7500</v>
      </c>
      <c r="H45" s="22" t="n">
        <f aca="false">F45+G45</f>
        <v>142500</v>
      </c>
    </row>
    <row r="46" customFormat="false" ht="15" hidden="false" customHeight="true" outlineLevel="0" collapsed="false">
      <c r="B46" s="7" t="n">
        <v>3</v>
      </c>
      <c r="C46" s="9" t="str">
        <f aca="false">Quarters!$E$6</f>
        <v>Q3 2022</v>
      </c>
      <c r="D46" s="7" t="s">
        <v>128</v>
      </c>
      <c r="E46" s="7" t="s">
        <v>129</v>
      </c>
      <c r="F46" s="25" t="n">
        <f aca="false">'Capital Call Schedule'!$D$6*'LP Register'!$F$16</f>
        <v>135000</v>
      </c>
      <c r="G46" s="25" t="n">
        <f aca="false">'Capital Call Schedule'!$E$6*'LP Register'!$F$16</f>
        <v>7500</v>
      </c>
      <c r="H46" s="22" t="n">
        <f aca="false">F46+G46</f>
        <v>142500</v>
      </c>
    </row>
    <row r="47" customFormat="false" ht="15" hidden="false" customHeight="true" outlineLevel="0" collapsed="false">
      <c r="B47" s="7" t="n">
        <v>3</v>
      </c>
      <c r="C47" s="9" t="str">
        <f aca="false">Quarters!$E$6</f>
        <v>Q3 2022</v>
      </c>
      <c r="D47" s="7" t="s">
        <v>130</v>
      </c>
      <c r="E47" s="7" t="s">
        <v>131</v>
      </c>
      <c r="F47" s="25" t="n">
        <f aca="false">'Capital Call Schedule'!$D$6*'LP Register'!$F$17</f>
        <v>144000</v>
      </c>
      <c r="G47" s="25" t="n">
        <f aca="false">'Capital Call Schedule'!$E$6*'LP Register'!$F$17</f>
        <v>8000</v>
      </c>
      <c r="H47" s="22" t="n">
        <f aca="false">F47+G47</f>
        <v>152000</v>
      </c>
    </row>
    <row r="48" customFormat="false" ht="15" hidden="false" customHeight="true" outlineLevel="0" collapsed="false">
      <c r="B48" s="7" t="n">
        <v>3</v>
      </c>
      <c r="C48" s="9" t="str">
        <f aca="false">Quarters!$E$6</f>
        <v>Q3 2022</v>
      </c>
      <c r="D48" s="7" t="s">
        <v>132</v>
      </c>
      <c r="E48" s="7" t="s">
        <v>133</v>
      </c>
      <c r="F48" s="25" t="n">
        <f aca="false">'Capital Call Schedule'!$D$6*'LP Register'!$F$18</f>
        <v>144000</v>
      </c>
      <c r="G48" s="25" t="n">
        <f aca="false">'Capital Call Schedule'!$E$6*'LP Register'!$F$18</f>
        <v>8000</v>
      </c>
      <c r="H48" s="22" t="n">
        <f aca="false">F48+G48</f>
        <v>152000</v>
      </c>
    </row>
    <row r="49" customFormat="false" ht="15" hidden="false" customHeight="true" outlineLevel="0" collapsed="false">
      <c r="B49" s="7" t="n">
        <v>4</v>
      </c>
      <c r="C49" s="9" t="str">
        <f aca="false">Quarters!$E$7</f>
        <v>Q4 2022</v>
      </c>
      <c r="D49" s="7" t="s">
        <v>97</v>
      </c>
      <c r="E49" s="7" t="s">
        <v>98</v>
      </c>
      <c r="F49" s="25" t="n">
        <f aca="false">'Capital Call Schedule'!$D$7*'LP Register'!$F$4</f>
        <v>800000</v>
      </c>
      <c r="G49" s="25" t="n">
        <f aca="false">'Capital Call Schedule'!$E$7*'LP Register'!$F$4</f>
        <v>40000</v>
      </c>
      <c r="H49" s="22" t="n">
        <f aca="false">F49+G49</f>
        <v>840000</v>
      </c>
    </row>
    <row r="50" customFormat="false" ht="15" hidden="false" customHeight="true" outlineLevel="0" collapsed="false">
      <c r="B50" s="7" t="n">
        <v>4</v>
      </c>
      <c r="C50" s="9" t="str">
        <f aca="false">Quarters!$E$7</f>
        <v>Q4 2022</v>
      </c>
      <c r="D50" s="7" t="s">
        <v>100</v>
      </c>
      <c r="E50" s="7" t="s">
        <v>101</v>
      </c>
      <c r="F50" s="25" t="n">
        <f aca="false">'Capital Call Schedule'!$D$7*'LP Register'!$F$5</f>
        <v>600000</v>
      </c>
      <c r="G50" s="25" t="n">
        <f aca="false">'Capital Call Schedule'!$E$7*'LP Register'!$F$5</f>
        <v>30000</v>
      </c>
      <c r="H50" s="22" t="n">
        <f aca="false">F50+G50</f>
        <v>630000</v>
      </c>
    </row>
    <row r="51" customFormat="false" ht="15" hidden="false" customHeight="true" outlineLevel="0" collapsed="false">
      <c r="B51" s="7" t="n">
        <v>4</v>
      </c>
      <c r="C51" s="9" t="str">
        <f aca="false">Quarters!$E$7</f>
        <v>Q4 2022</v>
      </c>
      <c r="D51" s="7" t="s">
        <v>103</v>
      </c>
      <c r="E51" s="7" t="s">
        <v>104</v>
      </c>
      <c r="F51" s="25" t="n">
        <f aca="false">'Capital Call Schedule'!$D$7*'LP Register'!$F$6</f>
        <v>550000</v>
      </c>
      <c r="G51" s="25" t="n">
        <f aca="false">'Capital Call Schedule'!$E$7*'LP Register'!$F$6</f>
        <v>27500</v>
      </c>
      <c r="H51" s="22" t="n">
        <f aca="false">F51+G51</f>
        <v>577500</v>
      </c>
    </row>
    <row r="52" customFormat="false" ht="15" hidden="false" customHeight="true" outlineLevel="0" collapsed="false">
      <c r="B52" s="7" t="n">
        <v>4</v>
      </c>
      <c r="C52" s="9" t="str">
        <f aca="false">Quarters!$E$7</f>
        <v>Q4 2022</v>
      </c>
      <c r="D52" s="7" t="s">
        <v>106</v>
      </c>
      <c r="E52" s="7" t="s">
        <v>107</v>
      </c>
      <c r="F52" s="25" t="n">
        <f aca="false">'Capital Call Schedule'!$D$7*'LP Register'!$F$7</f>
        <v>500000</v>
      </c>
      <c r="G52" s="25" t="n">
        <f aca="false">'Capital Call Schedule'!$E$7*'LP Register'!$F$7</f>
        <v>25000</v>
      </c>
      <c r="H52" s="22" t="n">
        <f aca="false">F52+G52</f>
        <v>525000</v>
      </c>
    </row>
    <row r="53" customFormat="false" ht="15" hidden="false" customHeight="true" outlineLevel="0" collapsed="false">
      <c r="B53" s="7" t="n">
        <v>4</v>
      </c>
      <c r="C53" s="9" t="str">
        <f aca="false">Quarters!$E$7</f>
        <v>Q4 2022</v>
      </c>
      <c r="D53" s="7" t="s">
        <v>109</v>
      </c>
      <c r="E53" s="7" t="s">
        <v>110</v>
      </c>
      <c r="F53" s="25" t="n">
        <f aca="false">'Capital Call Schedule'!$D$7*'LP Register'!$F$8</f>
        <v>400000</v>
      </c>
      <c r="G53" s="25" t="n">
        <f aca="false">'Capital Call Schedule'!$E$7*'LP Register'!$F$8</f>
        <v>20000</v>
      </c>
      <c r="H53" s="22" t="n">
        <f aca="false">F53+G53</f>
        <v>420000</v>
      </c>
    </row>
    <row r="54" customFormat="false" ht="15" hidden="false" customHeight="true" outlineLevel="0" collapsed="false">
      <c r="B54" s="7" t="n">
        <v>4</v>
      </c>
      <c r="C54" s="9" t="str">
        <f aca="false">Quarters!$E$7</f>
        <v>Q4 2022</v>
      </c>
      <c r="D54" s="7" t="s">
        <v>112</v>
      </c>
      <c r="E54" s="7" t="s">
        <v>113</v>
      </c>
      <c r="F54" s="25" t="n">
        <f aca="false">'Capital Call Schedule'!$D$7*'LP Register'!$F$9</f>
        <v>400000</v>
      </c>
      <c r="G54" s="25" t="n">
        <f aca="false">'Capital Call Schedule'!$E$7*'LP Register'!$F$9</f>
        <v>20000</v>
      </c>
      <c r="H54" s="22" t="n">
        <f aca="false">F54+G54</f>
        <v>420000</v>
      </c>
    </row>
    <row r="55" customFormat="false" ht="15" hidden="false" customHeight="true" outlineLevel="0" collapsed="false">
      <c r="B55" s="7" t="n">
        <v>4</v>
      </c>
      <c r="C55" s="9" t="str">
        <f aca="false">Quarters!$E$7</f>
        <v>Q4 2022</v>
      </c>
      <c r="D55" s="7" t="s">
        <v>115</v>
      </c>
      <c r="E55" s="7" t="s">
        <v>116</v>
      </c>
      <c r="F55" s="25" t="n">
        <f aca="false">'Capital Call Schedule'!$D$7*'LP Register'!$F$10</f>
        <v>300000</v>
      </c>
      <c r="G55" s="25" t="n">
        <f aca="false">'Capital Call Schedule'!$E$7*'LP Register'!$F$10</f>
        <v>15000</v>
      </c>
      <c r="H55" s="22" t="n">
        <f aca="false">F55+G55</f>
        <v>315000</v>
      </c>
    </row>
    <row r="56" customFormat="false" ht="15" hidden="false" customHeight="true" outlineLevel="0" collapsed="false">
      <c r="B56" s="7" t="n">
        <v>4</v>
      </c>
      <c r="C56" s="9" t="str">
        <f aca="false">Quarters!$E$7</f>
        <v>Q4 2022</v>
      </c>
      <c r="D56" s="7" t="s">
        <v>117</v>
      </c>
      <c r="E56" s="7" t="s">
        <v>118</v>
      </c>
      <c r="F56" s="25" t="n">
        <f aca="false">'Capital Call Schedule'!$D$7*'LP Register'!$F$11</f>
        <v>250000</v>
      </c>
      <c r="G56" s="25" t="n">
        <f aca="false">'Capital Call Schedule'!$E$7*'LP Register'!$F$11</f>
        <v>12500</v>
      </c>
      <c r="H56" s="22" t="n">
        <f aca="false">F56+G56</f>
        <v>262500</v>
      </c>
    </row>
    <row r="57" customFormat="false" ht="15" hidden="false" customHeight="true" outlineLevel="0" collapsed="false">
      <c r="B57" s="7" t="n">
        <v>4</v>
      </c>
      <c r="C57" s="9" t="str">
        <f aca="false">Quarters!$E$7</f>
        <v>Q4 2022</v>
      </c>
      <c r="D57" s="7" t="s">
        <v>119</v>
      </c>
      <c r="E57" s="7" t="s">
        <v>120</v>
      </c>
      <c r="F57" s="25" t="n">
        <f aca="false">'Capital Call Schedule'!$D$7*'LP Register'!$F$12</f>
        <v>200000</v>
      </c>
      <c r="G57" s="25" t="n">
        <f aca="false">'Capital Call Schedule'!$E$7*'LP Register'!$F$12</f>
        <v>10000</v>
      </c>
      <c r="H57" s="22" t="n">
        <f aca="false">F57+G57</f>
        <v>210000</v>
      </c>
    </row>
    <row r="58" customFormat="false" ht="15" hidden="false" customHeight="true" outlineLevel="0" collapsed="false">
      <c r="B58" s="7" t="n">
        <v>4</v>
      </c>
      <c r="C58" s="9" t="str">
        <f aca="false">Quarters!$E$7</f>
        <v>Q4 2022</v>
      </c>
      <c r="D58" s="7" t="s">
        <v>121</v>
      </c>
      <c r="E58" s="7" t="s">
        <v>122</v>
      </c>
      <c r="F58" s="25" t="n">
        <f aca="false">'Capital Call Schedule'!$D$7*'LP Register'!$F$13</f>
        <v>200000</v>
      </c>
      <c r="G58" s="25" t="n">
        <f aca="false">'Capital Call Schedule'!$E$7*'LP Register'!$F$13</f>
        <v>10000</v>
      </c>
      <c r="H58" s="22" t="n">
        <f aca="false">F58+G58</f>
        <v>210000</v>
      </c>
    </row>
    <row r="59" customFormat="false" ht="15" hidden="false" customHeight="true" outlineLevel="0" collapsed="false">
      <c r="B59" s="7" t="n">
        <v>4</v>
      </c>
      <c r="C59" s="9" t="str">
        <f aca="false">Quarters!$E$7</f>
        <v>Q4 2022</v>
      </c>
      <c r="D59" s="7" t="s">
        <v>124</v>
      </c>
      <c r="E59" s="7" t="s">
        <v>125</v>
      </c>
      <c r="F59" s="25" t="n">
        <f aca="false">'Capital Call Schedule'!$D$7*'LP Register'!$F$14</f>
        <v>180000</v>
      </c>
      <c r="G59" s="25" t="n">
        <f aca="false">'Capital Call Schedule'!$E$7*'LP Register'!$F$14</f>
        <v>9000</v>
      </c>
      <c r="H59" s="22" t="n">
        <f aca="false">F59+G59</f>
        <v>189000</v>
      </c>
    </row>
    <row r="60" customFormat="false" ht="15" hidden="false" customHeight="true" outlineLevel="0" collapsed="false">
      <c r="B60" s="7" t="n">
        <v>4</v>
      </c>
      <c r="C60" s="9" t="str">
        <f aca="false">Quarters!$E$7</f>
        <v>Q4 2022</v>
      </c>
      <c r="D60" s="7" t="s">
        <v>126</v>
      </c>
      <c r="E60" s="7" t="s">
        <v>127</v>
      </c>
      <c r="F60" s="25" t="n">
        <f aca="false">'Capital Call Schedule'!$D$7*'LP Register'!$F$15</f>
        <v>150000</v>
      </c>
      <c r="G60" s="25" t="n">
        <f aca="false">'Capital Call Schedule'!$E$7*'LP Register'!$F$15</f>
        <v>7500</v>
      </c>
      <c r="H60" s="22" t="n">
        <f aca="false">F60+G60</f>
        <v>157500</v>
      </c>
    </row>
    <row r="61" customFormat="false" ht="15" hidden="false" customHeight="true" outlineLevel="0" collapsed="false">
      <c r="B61" s="7" t="n">
        <v>4</v>
      </c>
      <c r="C61" s="9" t="str">
        <f aca="false">Quarters!$E$7</f>
        <v>Q4 2022</v>
      </c>
      <c r="D61" s="7" t="s">
        <v>128</v>
      </c>
      <c r="E61" s="7" t="s">
        <v>129</v>
      </c>
      <c r="F61" s="25" t="n">
        <f aca="false">'Capital Call Schedule'!$D$7*'LP Register'!$F$16</f>
        <v>150000</v>
      </c>
      <c r="G61" s="25" t="n">
        <f aca="false">'Capital Call Schedule'!$E$7*'LP Register'!$F$16</f>
        <v>7500</v>
      </c>
      <c r="H61" s="22" t="n">
        <f aca="false">F61+G61</f>
        <v>157500</v>
      </c>
    </row>
    <row r="62" customFormat="false" ht="15" hidden="false" customHeight="true" outlineLevel="0" collapsed="false">
      <c r="B62" s="7" t="n">
        <v>4</v>
      </c>
      <c r="C62" s="9" t="str">
        <f aca="false">Quarters!$E$7</f>
        <v>Q4 2022</v>
      </c>
      <c r="D62" s="7" t="s">
        <v>130</v>
      </c>
      <c r="E62" s="7" t="s">
        <v>131</v>
      </c>
      <c r="F62" s="25" t="n">
        <f aca="false">'Capital Call Schedule'!$D$7*'LP Register'!$F$17</f>
        <v>160000</v>
      </c>
      <c r="G62" s="25" t="n">
        <f aca="false">'Capital Call Schedule'!$E$7*'LP Register'!$F$17</f>
        <v>8000</v>
      </c>
      <c r="H62" s="22" t="n">
        <f aca="false">F62+G62</f>
        <v>168000</v>
      </c>
    </row>
    <row r="63" customFormat="false" ht="15" hidden="false" customHeight="true" outlineLevel="0" collapsed="false">
      <c r="B63" s="7" t="n">
        <v>4</v>
      </c>
      <c r="C63" s="9" t="str">
        <f aca="false">Quarters!$E$7</f>
        <v>Q4 2022</v>
      </c>
      <c r="D63" s="7" t="s">
        <v>132</v>
      </c>
      <c r="E63" s="7" t="s">
        <v>133</v>
      </c>
      <c r="F63" s="25" t="n">
        <f aca="false">'Capital Call Schedule'!$D$7*'LP Register'!$F$18</f>
        <v>160000</v>
      </c>
      <c r="G63" s="25" t="n">
        <f aca="false">'Capital Call Schedule'!$E$7*'LP Register'!$F$18</f>
        <v>8000</v>
      </c>
      <c r="H63" s="22" t="n">
        <f aca="false">F63+G63</f>
        <v>168000</v>
      </c>
    </row>
    <row r="64" customFormat="false" ht="15" hidden="false" customHeight="true" outlineLevel="0" collapsed="false">
      <c r="B64" s="7" t="n">
        <v>5</v>
      </c>
      <c r="C64" s="9" t="str">
        <f aca="false">Quarters!$E$8</f>
        <v>Q1 2023</v>
      </c>
      <c r="D64" s="7" t="s">
        <v>97</v>
      </c>
      <c r="E64" s="7" t="s">
        <v>98</v>
      </c>
      <c r="F64" s="25" t="n">
        <f aca="false">'Capital Call Schedule'!$D$8*'LP Register'!$F$4</f>
        <v>640000</v>
      </c>
      <c r="G64" s="25" t="n">
        <f aca="false">'Capital Call Schedule'!$E$8*'LP Register'!$F$4</f>
        <v>40000</v>
      </c>
      <c r="H64" s="22" t="n">
        <f aca="false">F64+G64</f>
        <v>680000</v>
      </c>
    </row>
    <row r="65" customFormat="false" ht="15" hidden="false" customHeight="true" outlineLevel="0" collapsed="false">
      <c r="B65" s="7" t="n">
        <v>5</v>
      </c>
      <c r="C65" s="9" t="str">
        <f aca="false">Quarters!$E$8</f>
        <v>Q1 2023</v>
      </c>
      <c r="D65" s="7" t="s">
        <v>100</v>
      </c>
      <c r="E65" s="7" t="s">
        <v>101</v>
      </c>
      <c r="F65" s="25" t="n">
        <f aca="false">'Capital Call Schedule'!$D$8*'LP Register'!$F$5</f>
        <v>480000</v>
      </c>
      <c r="G65" s="25" t="n">
        <f aca="false">'Capital Call Schedule'!$E$8*'LP Register'!$F$5</f>
        <v>30000</v>
      </c>
      <c r="H65" s="22" t="n">
        <f aca="false">F65+G65</f>
        <v>510000</v>
      </c>
    </row>
    <row r="66" customFormat="false" ht="15" hidden="false" customHeight="true" outlineLevel="0" collapsed="false">
      <c r="B66" s="7" t="n">
        <v>5</v>
      </c>
      <c r="C66" s="9" t="str">
        <f aca="false">Quarters!$E$8</f>
        <v>Q1 2023</v>
      </c>
      <c r="D66" s="7" t="s">
        <v>103</v>
      </c>
      <c r="E66" s="7" t="s">
        <v>104</v>
      </c>
      <c r="F66" s="25" t="n">
        <f aca="false">'Capital Call Schedule'!$D$8*'LP Register'!$F$6</f>
        <v>440000</v>
      </c>
      <c r="G66" s="25" t="n">
        <f aca="false">'Capital Call Schedule'!$E$8*'LP Register'!$F$6</f>
        <v>27500</v>
      </c>
      <c r="H66" s="22" t="n">
        <f aca="false">F66+G66</f>
        <v>467500</v>
      </c>
    </row>
    <row r="67" customFormat="false" ht="15" hidden="false" customHeight="true" outlineLevel="0" collapsed="false">
      <c r="B67" s="7" t="n">
        <v>5</v>
      </c>
      <c r="C67" s="9" t="str">
        <f aca="false">Quarters!$E$8</f>
        <v>Q1 2023</v>
      </c>
      <c r="D67" s="7" t="s">
        <v>106</v>
      </c>
      <c r="E67" s="7" t="s">
        <v>107</v>
      </c>
      <c r="F67" s="25" t="n">
        <f aca="false">'Capital Call Schedule'!$D$8*'LP Register'!$F$7</f>
        <v>400000</v>
      </c>
      <c r="G67" s="25" t="n">
        <f aca="false">'Capital Call Schedule'!$E$8*'LP Register'!$F$7</f>
        <v>25000</v>
      </c>
      <c r="H67" s="22" t="n">
        <f aca="false">F67+G67</f>
        <v>425000</v>
      </c>
    </row>
    <row r="68" customFormat="false" ht="15" hidden="false" customHeight="true" outlineLevel="0" collapsed="false">
      <c r="B68" s="7" t="n">
        <v>5</v>
      </c>
      <c r="C68" s="9" t="str">
        <f aca="false">Quarters!$E$8</f>
        <v>Q1 2023</v>
      </c>
      <c r="D68" s="7" t="s">
        <v>109</v>
      </c>
      <c r="E68" s="7" t="s">
        <v>110</v>
      </c>
      <c r="F68" s="25" t="n">
        <f aca="false">'Capital Call Schedule'!$D$8*'LP Register'!$F$8</f>
        <v>320000</v>
      </c>
      <c r="G68" s="25" t="n">
        <f aca="false">'Capital Call Schedule'!$E$8*'LP Register'!$F$8</f>
        <v>20000</v>
      </c>
      <c r="H68" s="22" t="n">
        <f aca="false">F68+G68</f>
        <v>340000</v>
      </c>
    </row>
    <row r="69" customFormat="false" ht="15" hidden="false" customHeight="true" outlineLevel="0" collapsed="false">
      <c r="B69" s="7" t="n">
        <v>5</v>
      </c>
      <c r="C69" s="9" t="str">
        <f aca="false">Quarters!$E$8</f>
        <v>Q1 2023</v>
      </c>
      <c r="D69" s="7" t="s">
        <v>112</v>
      </c>
      <c r="E69" s="7" t="s">
        <v>113</v>
      </c>
      <c r="F69" s="25" t="n">
        <f aca="false">'Capital Call Schedule'!$D$8*'LP Register'!$F$9</f>
        <v>320000</v>
      </c>
      <c r="G69" s="25" t="n">
        <f aca="false">'Capital Call Schedule'!$E$8*'LP Register'!$F$9</f>
        <v>20000</v>
      </c>
      <c r="H69" s="22" t="n">
        <f aca="false">F69+G69</f>
        <v>340000</v>
      </c>
    </row>
    <row r="70" customFormat="false" ht="15" hidden="false" customHeight="true" outlineLevel="0" collapsed="false">
      <c r="B70" s="7" t="n">
        <v>5</v>
      </c>
      <c r="C70" s="9" t="str">
        <f aca="false">Quarters!$E$8</f>
        <v>Q1 2023</v>
      </c>
      <c r="D70" s="7" t="s">
        <v>115</v>
      </c>
      <c r="E70" s="7" t="s">
        <v>116</v>
      </c>
      <c r="F70" s="25" t="n">
        <f aca="false">'Capital Call Schedule'!$D$8*'LP Register'!$F$10</f>
        <v>240000</v>
      </c>
      <c r="G70" s="25" t="n">
        <f aca="false">'Capital Call Schedule'!$E$8*'LP Register'!$F$10</f>
        <v>15000</v>
      </c>
      <c r="H70" s="22" t="n">
        <f aca="false">F70+G70</f>
        <v>255000</v>
      </c>
    </row>
    <row r="71" customFormat="false" ht="15" hidden="false" customHeight="true" outlineLevel="0" collapsed="false">
      <c r="B71" s="7" t="n">
        <v>5</v>
      </c>
      <c r="C71" s="9" t="str">
        <f aca="false">Quarters!$E$8</f>
        <v>Q1 2023</v>
      </c>
      <c r="D71" s="7" t="s">
        <v>117</v>
      </c>
      <c r="E71" s="7" t="s">
        <v>118</v>
      </c>
      <c r="F71" s="25" t="n">
        <f aca="false">'Capital Call Schedule'!$D$8*'LP Register'!$F$11</f>
        <v>200000</v>
      </c>
      <c r="G71" s="25" t="n">
        <f aca="false">'Capital Call Schedule'!$E$8*'LP Register'!$F$11</f>
        <v>12500</v>
      </c>
      <c r="H71" s="22" t="n">
        <f aca="false">F71+G71</f>
        <v>212500</v>
      </c>
    </row>
    <row r="72" customFormat="false" ht="15" hidden="false" customHeight="true" outlineLevel="0" collapsed="false">
      <c r="B72" s="7" t="n">
        <v>5</v>
      </c>
      <c r="C72" s="9" t="str">
        <f aca="false">Quarters!$E$8</f>
        <v>Q1 2023</v>
      </c>
      <c r="D72" s="7" t="s">
        <v>119</v>
      </c>
      <c r="E72" s="7" t="s">
        <v>120</v>
      </c>
      <c r="F72" s="25" t="n">
        <f aca="false">'Capital Call Schedule'!$D$8*'LP Register'!$F$12</f>
        <v>160000</v>
      </c>
      <c r="G72" s="25" t="n">
        <f aca="false">'Capital Call Schedule'!$E$8*'LP Register'!$F$12</f>
        <v>10000</v>
      </c>
      <c r="H72" s="22" t="n">
        <f aca="false">F72+G72</f>
        <v>170000</v>
      </c>
    </row>
    <row r="73" customFormat="false" ht="15" hidden="false" customHeight="true" outlineLevel="0" collapsed="false">
      <c r="B73" s="7" t="n">
        <v>5</v>
      </c>
      <c r="C73" s="9" t="str">
        <f aca="false">Quarters!$E$8</f>
        <v>Q1 2023</v>
      </c>
      <c r="D73" s="7" t="s">
        <v>121</v>
      </c>
      <c r="E73" s="7" t="s">
        <v>122</v>
      </c>
      <c r="F73" s="25" t="n">
        <f aca="false">'Capital Call Schedule'!$D$8*'LP Register'!$F$13</f>
        <v>160000</v>
      </c>
      <c r="G73" s="25" t="n">
        <f aca="false">'Capital Call Schedule'!$E$8*'LP Register'!$F$13</f>
        <v>10000</v>
      </c>
      <c r="H73" s="22" t="n">
        <f aca="false">F73+G73</f>
        <v>170000</v>
      </c>
    </row>
    <row r="74" customFormat="false" ht="15" hidden="false" customHeight="true" outlineLevel="0" collapsed="false">
      <c r="B74" s="7" t="n">
        <v>5</v>
      </c>
      <c r="C74" s="9" t="str">
        <f aca="false">Quarters!$E$8</f>
        <v>Q1 2023</v>
      </c>
      <c r="D74" s="7" t="s">
        <v>124</v>
      </c>
      <c r="E74" s="7" t="s">
        <v>125</v>
      </c>
      <c r="F74" s="25" t="n">
        <f aca="false">'Capital Call Schedule'!$D$8*'LP Register'!$F$14</f>
        <v>144000</v>
      </c>
      <c r="G74" s="25" t="n">
        <f aca="false">'Capital Call Schedule'!$E$8*'LP Register'!$F$14</f>
        <v>9000</v>
      </c>
      <c r="H74" s="22" t="n">
        <f aca="false">F74+G74</f>
        <v>153000</v>
      </c>
    </row>
    <row r="75" customFormat="false" ht="15" hidden="false" customHeight="true" outlineLevel="0" collapsed="false">
      <c r="B75" s="7" t="n">
        <v>5</v>
      </c>
      <c r="C75" s="9" t="str">
        <f aca="false">Quarters!$E$8</f>
        <v>Q1 2023</v>
      </c>
      <c r="D75" s="7" t="s">
        <v>126</v>
      </c>
      <c r="E75" s="7" t="s">
        <v>127</v>
      </c>
      <c r="F75" s="25" t="n">
        <f aca="false">'Capital Call Schedule'!$D$8*'LP Register'!$F$15</f>
        <v>120000</v>
      </c>
      <c r="G75" s="25" t="n">
        <f aca="false">'Capital Call Schedule'!$E$8*'LP Register'!$F$15</f>
        <v>7500</v>
      </c>
      <c r="H75" s="22" t="n">
        <f aca="false">F75+G75</f>
        <v>127500</v>
      </c>
    </row>
    <row r="76" customFormat="false" ht="15" hidden="false" customHeight="true" outlineLevel="0" collapsed="false">
      <c r="B76" s="7" t="n">
        <v>5</v>
      </c>
      <c r="C76" s="9" t="str">
        <f aca="false">Quarters!$E$8</f>
        <v>Q1 2023</v>
      </c>
      <c r="D76" s="7" t="s">
        <v>128</v>
      </c>
      <c r="E76" s="7" t="s">
        <v>129</v>
      </c>
      <c r="F76" s="25" t="n">
        <f aca="false">'Capital Call Schedule'!$D$8*'LP Register'!$F$16</f>
        <v>120000</v>
      </c>
      <c r="G76" s="25" t="n">
        <f aca="false">'Capital Call Schedule'!$E$8*'LP Register'!$F$16</f>
        <v>7500</v>
      </c>
      <c r="H76" s="22" t="n">
        <f aca="false">F76+G76</f>
        <v>127500</v>
      </c>
    </row>
    <row r="77" customFormat="false" ht="15" hidden="false" customHeight="true" outlineLevel="0" collapsed="false">
      <c r="B77" s="7" t="n">
        <v>5</v>
      </c>
      <c r="C77" s="9" t="str">
        <f aca="false">Quarters!$E$8</f>
        <v>Q1 2023</v>
      </c>
      <c r="D77" s="7" t="s">
        <v>130</v>
      </c>
      <c r="E77" s="7" t="s">
        <v>131</v>
      </c>
      <c r="F77" s="25" t="n">
        <f aca="false">'Capital Call Schedule'!$D$8*'LP Register'!$F$17</f>
        <v>128000</v>
      </c>
      <c r="G77" s="25" t="n">
        <f aca="false">'Capital Call Schedule'!$E$8*'LP Register'!$F$17</f>
        <v>8000</v>
      </c>
      <c r="H77" s="22" t="n">
        <f aca="false">F77+G77</f>
        <v>136000</v>
      </c>
    </row>
    <row r="78" customFormat="false" ht="15" hidden="false" customHeight="true" outlineLevel="0" collapsed="false">
      <c r="B78" s="7" t="n">
        <v>5</v>
      </c>
      <c r="C78" s="9" t="str">
        <f aca="false">Quarters!$E$8</f>
        <v>Q1 2023</v>
      </c>
      <c r="D78" s="7" t="s">
        <v>132</v>
      </c>
      <c r="E78" s="7" t="s">
        <v>133</v>
      </c>
      <c r="F78" s="25" t="n">
        <f aca="false">'Capital Call Schedule'!$D$8*'LP Register'!$F$18</f>
        <v>128000</v>
      </c>
      <c r="G78" s="25" t="n">
        <f aca="false">'Capital Call Schedule'!$E$8*'LP Register'!$F$18</f>
        <v>8000</v>
      </c>
      <c r="H78" s="22" t="n">
        <f aca="false">F78+G78</f>
        <v>136000</v>
      </c>
    </row>
    <row r="79" customFormat="false" ht="15" hidden="false" customHeight="true" outlineLevel="0" collapsed="false">
      <c r="B79" s="7" t="n">
        <v>6</v>
      </c>
      <c r="C79" s="9" t="str">
        <f aca="false">Quarters!$E$9</f>
        <v>Q2 2023</v>
      </c>
      <c r="D79" s="7" t="s">
        <v>97</v>
      </c>
      <c r="E79" s="7" t="s">
        <v>98</v>
      </c>
      <c r="F79" s="25" t="n">
        <f aca="false">'Capital Call Schedule'!$D$9*'LP Register'!$F$4</f>
        <v>800000</v>
      </c>
      <c r="G79" s="25" t="n">
        <f aca="false">'Capital Call Schedule'!$E$9*'LP Register'!$F$4</f>
        <v>40000</v>
      </c>
      <c r="H79" s="22" t="n">
        <f aca="false">F79+G79</f>
        <v>840000</v>
      </c>
    </row>
    <row r="80" customFormat="false" ht="15" hidden="false" customHeight="true" outlineLevel="0" collapsed="false">
      <c r="B80" s="7" t="n">
        <v>6</v>
      </c>
      <c r="C80" s="9" t="str">
        <f aca="false">Quarters!$E$9</f>
        <v>Q2 2023</v>
      </c>
      <c r="D80" s="7" t="s">
        <v>100</v>
      </c>
      <c r="E80" s="7" t="s">
        <v>101</v>
      </c>
      <c r="F80" s="25" t="n">
        <f aca="false">'Capital Call Schedule'!$D$9*'LP Register'!$F$5</f>
        <v>600000</v>
      </c>
      <c r="G80" s="25" t="n">
        <f aca="false">'Capital Call Schedule'!$E$9*'LP Register'!$F$5</f>
        <v>30000</v>
      </c>
      <c r="H80" s="22" t="n">
        <f aca="false">F80+G80</f>
        <v>630000</v>
      </c>
    </row>
    <row r="81" customFormat="false" ht="15" hidden="false" customHeight="true" outlineLevel="0" collapsed="false">
      <c r="B81" s="7" t="n">
        <v>6</v>
      </c>
      <c r="C81" s="9" t="str">
        <f aca="false">Quarters!$E$9</f>
        <v>Q2 2023</v>
      </c>
      <c r="D81" s="7" t="s">
        <v>103</v>
      </c>
      <c r="E81" s="7" t="s">
        <v>104</v>
      </c>
      <c r="F81" s="25" t="n">
        <f aca="false">'Capital Call Schedule'!$D$9*'LP Register'!$F$6</f>
        <v>550000</v>
      </c>
      <c r="G81" s="25" t="n">
        <f aca="false">'Capital Call Schedule'!$E$9*'LP Register'!$F$6</f>
        <v>27500</v>
      </c>
      <c r="H81" s="22" t="n">
        <f aca="false">F81+G81</f>
        <v>577500</v>
      </c>
    </row>
    <row r="82" customFormat="false" ht="15" hidden="false" customHeight="true" outlineLevel="0" collapsed="false">
      <c r="B82" s="7" t="n">
        <v>6</v>
      </c>
      <c r="C82" s="9" t="str">
        <f aca="false">Quarters!$E$9</f>
        <v>Q2 2023</v>
      </c>
      <c r="D82" s="7" t="s">
        <v>106</v>
      </c>
      <c r="E82" s="7" t="s">
        <v>107</v>
      </c>
      <c r="F82" s="25" t="n">
        <f aca="false">'Capital Call Schedule'!$D$9*'LP Register'!$F$7</f>
        <v>500000</v>
      </c>
      <c r="G82" s="25" t="n">
        <f aca="false">'Capital Call Schedule'!$E$9*'LP Register'!$F$7</f>
        <v>25000</v>
      </c>
      <c r="H82" s="22" t="n">
        <f aca="false">F82+G82</f>
        <v>525000</v>
      </c>
    </row>
    <row r="83" customFormat="false" ht="15" hidden="false" customHeight="true" outlineLevel="0" collapsed="false">
      <c r="B83" s="7" t="n">
        <v>6</v>
      </c>
      <c r="C83" s="9" t="str">
        <f aca="false">Quarters!$E$9</f>
        <v>Q2 2023</v>
      </c>
      <c r="D83" s="7" t="s">
        <v>109</v>
      </c>
      <c r="E83" s="7" t="s">
        <v>110</v>
      </c>
      <c r="F83" s="25" t="n">
        <f aca="false">'Capital Call Schedule'!$D$9*'LP Register'!$F$8</f>
        <v>400000</v>
      </c>
      <c r="G83" s="25" t="n">
        <f aca="false">'Capital Call Schedule'!$E$9*'LP Register'!$F$8</f>
        <v>20000</v>
      </c>
      <c r="H83" s="22" t="n">
        <f aca="false">F83+G83</f>
        <v>420000</v>
      </c>
    </row>
    <row r="84" customFormat="false" ht="15" hidden="false" customHeight="true" outlineLevel="0" collapsed="false">
      <c r="B84" s="7" t="n">
        <v>6</v>
      </c>
      <c r="C84" s="9" t="str">
        <f aca="false">Quarters!$E$9</f>
        <v>Q2 2023</v>
      </c>
      <c r="D84" s="7" t="s">
        <v>112</v>
      </c>
      <c r="E84" s="7" t="s">
        <v>113</v>
      </c>
      <c r="F84" s="25" t="n">
        <f aca="false">'Capital Call Schedule'!$D$9*'LP Register'!$F$9</f>
        <v>400000</v>
      </c>
      <c r="G84" s="25" t="n">
        <f aca="false">'Capital Call Schedule'!$E$9*'LP Register'!$F$9</f>
        <v>20000</v>
      </c>
      <c r="H84" s="22" t="n">
        <f aca="false">F84+G84</f>
        <v>420000</v>
      </c>
    </row>
    <row r="85" customFormat="false" ht="15" hidden="false" customHeight="true" outlineLevel="0" collapsed="false">
      <c r="B85" s="7" t="n">
        <v>6</v>
      </c>
      <c r="C85" s="9" t="str">
        <f aca="false">Quarters!$E$9</f>
        <v>Q2 2023</v>
      </c>
      <c r="D85" s="7" t="s">
        <v>115</v>
      </c>
      <c r="E85" s="7" t="s">
        <v>116</v>
      </c>
      <c r="F85" s="25" t="n">
        <f aca="false">'Capital Call Schedule'!$D$9*'LP Register'!$F$10</f>
        <v>300000</v>
      </c>
      <c r="G85" s="25" t="n">
        <f aca="false">'Capital Call Schedule'!$E$9*'LP Register'!$F$10</f>
        <v>15000</v>
      </c>
      <c r="H85" s="22" t="n">
        <f aca="false">F85+G85</f>
        <v>315000</v>
      </c>
    </row>
    <row r="86" customFormat="false" ht="15" hidden="false" customHeight="true" outlineLevel="0" collapsed="false">
      <c r="B86" s="7" t="n">
        <v>6</v>
      </c>
      <c r="C86" s="9" t="str">
        <f aca="false">Quarters!$E$9</f>
        <v>Q2 2023</v>
      </c>
      <c r="D86" s="7" t="s">
        <v>117</v>
      </c>
      <c r="E86" s="7" t="s">
        <v>118</v>
      </c>
      <c r="F86" s="25" t="n">
        <f aca="false">'Capital Call Schedule'!$D$9*'LP Register'!$F$11</f>
        <v>250000</v>
      </c>
      <c r="G86" s="25" t="n">
        <f aca="false">'Capital Call Schedule'!$E$9*'LP Register'!$F$11</f>
        <v>12500</v>
      </c>
      <c r="H86" s="22" t="n">
        <f aca="false">F86+G86</f>
        <v>262500</v>
      </c>
    </row>
    <row r="87" customFormat="false" ht="15" hidden="false" customHeight="true" outlineLevel="0" collapsed="false">
      <c r="B87" s="7" t="n">
        <v>6</v>
      </c>
      <c r="C87" s="9" t="str">
        <f aca="false">Quarters!$E$9</f>
        <v>Q2 2023</v>
      </c>
      <c r="D87" s="7" t="s">
        <v>119</v>
      </c>
      <c r="E87" s="7" t="s">
        <v>120</v>
      </c>
      <c r="F87" s="25" t="n">
        <f aca="false">'Capital Call Schedule'!$D$9*'LP Register'!$F$12</f>
        <v>200000</v>
      </c>
      <c r="G87" s="25" t="n">
        <f aca="false">'Capital Call Schedule'!$E$9*'LP Register'!$F$12</f>
        <v>10000</v>
      </c>
      <c r="H87" s="22" t="n">
        <f aca="false">F87+G87</f>
        <v>210000</v>
      </c>
    </row>
    <row r="88" customFormat="false" ht="15" hidden="false" customHeight="true" outlineLevel="0" collapsed="false">
      <c r="B88" s="7" t="n">
        <v>6</v>
      </c>
      <c r="C88" s="9" t="str">
        <f aca="false">Quarters!$E$9</f>
        <v>Q2 2023</v>
      </c>
      <c r="D88" s="7" t="s">
        <v>121</v>
      </c>
      <c r="E88" s="7" t="s">
        <v>122</v>
      </c>
      <c r="F88" s="25" t="n">
        <f aca="false">'Capital Call Schedule'!$D$9*'LP Register'!$F$13</f>
        <v>200000</v>
      </c>
      <c r="G88" s="25" t="n">
        <f aca="false">'Capital Call Schedule'!$E$9*'LP Register'!$F$13</f>
        <v>10000</v>
      </c>
      <c r="H88" s="22" t="n">
        <f aca="false">F88+G88</f>
        <v>210000</v>
      </c>
    </row>
    <row r="89" customFormat="false" ht="15" hidden="false" customHeight="true" outlineLevel="0" collapsed="false">
      <c r="B89" s="7" t="n">
        <v>6</v>
      </c>
      <c r="C89" s="9" t="str">
        <f aca="false">Quarters!$E$9</f>
        <v>Q2 2023</v>
      </c>
      <c r="D89" s="7" t="s">
        <v>124</v>
      </c>
      <c r="E89" s="7" t="s">
        <v>125</v>
      </c>
      <c r="F89" s="25" t="n">
        <f aca="false">'Capital Call Schedule'!$D$9*'LP Register'!$F$14</f>
        <v>180000</v>
      </c>
      <c r="G89" s="25" t="n">
        <f aca="false">'Capital Call Schedule'!$E$9*'LP Register'!$F$14</f>
        <v>9000</v>
      </c>
      <c r="H89" s="22" t="n">
        <f aca="false">F89+G89</f>
        <v>189000</v>
      </c>
    </row>
    <row r="90" customFormat="false" ht="15" hidden="false" customHeight="true" outlineLevel="0" collapsed="false">
      <c r="B90" s="7" t="n">
        <v>6</v>
      </c>
      <c r="C90" s="9" t="str">
        <f aca="false">Quarters!$E$9</f>
        <v>Q2 2023</v>
      </c>
      <c r="D90" s="7" t="s">
        <v>126</v>
      </c>
      <c r="E90" s="7" t="s">
        <v>127</v>
      </c>
      <c r="F90" s="25" t="n">
        <f aca="false">'Capital Call Schedule'!$D$9*'LP Register'!$F$15</f>
        <v>150000</v>
      </c>
      <c r="G90" s="25" t="n">
        <f aca="false">'Capital Call Schedule'!$E$9*'LP Register'!$F$15</f>
        <v>7500</v>
      </c>
      <c r="H90" s="22" t="n">
        <f aca="false">F90+G90</f>
        <v>157500</v>
      </c>
    </row>
    <row r="91" customFormat="false" ht="15" hidden="false" customHeight="true" outlineLevel="0" collapsed="false">
      <c r="B91" s="7" t="n">
        <v>6</v>
      </c>
      <c r="C91" s="9" t="str">
        <f aca="false">Quarters!$E$9</f>
        <v>Q2 2023</v>
      </c>
      <c r="D91" s="7" t="s">
        <v>128</v>
      </c>
      <c r="E91" s="7" t="s">
        <v>129</v>
      </c>
      <c r="F91" s="25" t="n">
        <f aca="false">'Capital Call Schedule'!$D$9*'LP Register'!$F$16</f>
        <v>150000</v>
      </c>
      <c r="G91" s="25" t="n">
        <f aca="false">'Capital Call Schedule'!$E$9*'LP Register'!$F$16</f>
        <v>7500</v>
      </c>
      <c r="H91" s="22" t="n">
        <f aca="false">F91+G91</f>
        <v>157500</v>
      </c>
    </row>
    <row r="92" customFormat="false" ht="15" hidden="false" customHeight="true" outlineLevel="0" collapsed="false">
      <c r="B92" s="7" t="n">
        <v>6</v>
      </c>
      <c r="C92" s="9" t="str">
        <f aca="false">Quarters!$E$9</f>
        <v>Q2 2023</v>
      </c>
      <c r="D92" s="7" t="s">
        <v>130</v>
      </c>
      <c r="E92" s="7" t="s">
        <v>131</v>
      </c>
      <c r="F92" s="25" t="n">
        <f aca="false">'Capital Call Schedule'!$D$9*'LP Register'!$F$17</f>
        <v>160000</v>
      </c>
      <c r="G92" s="25" t="n">
        <f aca="false">'Capital Call Schedule'!$E$9*'LP Register'!$F$17</f>
        <v>8000</v>
      </c>
      <c r="H92" s="22" t="n">
        <f aca="false">F92+G92</f>
        <v>168000</v>
      </c>
    </row>
    <row r="93" customFormat="false" ht="15" hidden="false" customHeight="true" outlineLevel="0" collapsed="false">
      <c r="B93" s="7" t="n">
        <v>6</v>
      </c>
      <c r="C93" s="9" t="str">
        <f aca="false">Quarters!$E$9</f>
        <v>Q2 2023</v>
      </c>
      <c r="D93" s="7" t="s">
        <v>132</v>
      </c>
      <c r="E93" s="7" t="s">
        <v>133</v>
      </c>
      <c r="F93" s="25" t="n">
        <f aca="false">'Capital Call Schedule'!$D$9*'LP Register'!$F$18</f>
        <v>160000</v>
      </c>
      <c r="G93" s="25" t="n">
        <f aca="false">'Capital Call Schedule'!$E$9*'LP Register'!$F$18</f>
        <v>8000</v>
      </c>
      <c r="H93" s="22" t="n">
        <f aca="false">F93+G93</f>
        <v>168000</v>
      </c>
    </row>
    <row r="94" customFormat="false" ht="15" hidden="false" customHeight="true" outlineLevel="0" collapsed="false">
      <c r="B94" s="7" t="n">
        <v>7</v>
      </c>
      <c r="C94" s="9" t="str">
        <f aca="false">Quarters!$E$10</f>
        <v>Q3 2023</v>
      </c>
      <c r="D94" s="7" t="s">
        <v>97</v>
      </c>
      <c r="E94" s="7" t="s">
        <v>98</v>
      </c>
      <c r="F94" s="25" t="n">
        <f aca="false">'Capital Call Schedule'!$D$10*'LP Register'!$F$4</f>
        <v>720000</v>
      </c>
      <c r="G94" s="25" t="n">
        <f aca="false">'Capital Call Schedule'!$E$10*'LP Register'!$F$4</f>
        <v>40000</v>
      </c>
      <c r="H94" s="22" t="n">
        <f aca="false">F94+G94</f>
        <v>760000</v>
      </c>
    </row>
    <row r="95" customFormat="false" ht="15" hidden="false" customHeight="true" outlineLevel="0" collapsed="false">
      <c r="B95" s="7" t="n">
        <v>7</v>
      </c>
      <c r="C95" s="9" t="str">
        <f aca="false">Quarters!$E$10</f>
        <v>Q3 2023</v>
      </c>
      <c r="D95" s="7" t="s">
        <v>100</v>
      </c>
      <c r="E95" s="7" t="s">
        <v>101</v>
      </c>
      <c r="F95" s="25" t="n">
        <f aca="false">'Capital Call Schedule'!$D$10*'LP Register'!$F$5</f>
        <v>540000</v>
      </c>
      <c r="G95" s="25" t="n">
        <f aca="false">'Capital Call Schedule'!$E$10*'LP Register'!$F$5</f>
        <v>30000</v>
      </c>
      <c r="H95" s="22" t="n">
        <f aca="false">F95+G95</f>
        <v>570000</v>
      </c>
    </row>
    <row r="96" customFormat="false" ht="15" hidden="false" customHeight="true" outlineLevel="0" collapsed="false">
      <c r="B96" s="7" t="n">
        <v>7</v>
      </c>
      <c r="C96" s="9" t="str">
        <f aca="false">Quarters!$E$10</f>
        <v>Q3 2023</v>
      </c>
      <c r="D96" s="7" t="s">
        <v>103</v>
      </c>
      <c r="E96" s="7" t="s">
        <v>104</v>
      </c>
      <c r="F96" s="25" t="n">
        <f aca="false">'Capital Call Schedule'!$D$10*'LP Register'!$F$6</f>
        <v>495000</v>
      </c>
      <c r="G96" s="25" t="n">
        <f aca="false">'Capital Call Schedule'!$E$10*'LP Register'!$F$6</f>
        <v>27500</v>
      </c>
      <c r="H96" s="22" t="n">
        <f aca="false">F96+G96</f>
        <v>522500</v>
      </c>
    </row>
    <row r="97" customFormat="false" ht="15" hidden="false" customHeight="true" outlineLevel="0" collapsed="false">
      <c r="B97" s="7" t="n">
        <v>7</v>
      </c>
      <c r="C97" s="9" t="str">
        <f aca="false">Quarters!$E$10</f>
        <v>Q3 2023</v>
      </c>
      <c r="D97" s="7" t="s">
        <v>106</v>
      </c>
      <c r="E97" s="7" t="s">
        <v>107</v>
      </c>
      <c r="F97" s="25" t="n">
        <f aca="false">'Capital Call Schedule'!$D$10*'LP Register'!$F$7</f>
        <v>450000</v>
      </c>
      <c r="G97" s="25" t="n">
        <f aca="false">'Capital Call Schedule'!$E$10*'LP Register'!$F$7</f>
        <v>25000</v>
      </c>
      <c r="H97" s="22" t="n">
        <f aca="false">F97+G97</f>
        <v>475000</v>
      </c>
    </row>
    <row r="98" customFormat="false" ht="15" hidden="false" customHeight="true" outlineLevel="0" collapsed="false">
      <c r="B98" s="7" t="n">
        <v>7</v>
      </c>
      <c r="C98" s="9" t="str">
        <f aca="false">Quarters!$E$10</f>
        <v>Q3 2023</v>
      </c>
      <c r="D98" s="7" t="s">
        <v>109</v>
      </c>
      <c r="E98" s="7" t="s">
        <v>110</v>
      </c>
      <c r="F98" s="25" t="n">
        <f aca="false">'Capital Call Schedule'!$D$10*'LP Register'!$F$8</f>
        <v>360000</v>
      </c>
      <c r="G98" s="25" t="n">
        <f aca="false">'Capital Call Schedule'!$E$10*'LP Register'!$F$8</f>
        <v>20000</v>
      </c>
      <c r="H98" s="22" t="n">
        <f aca="false">F98+G98</f>
        <v>380000</v>
      </c>
    </row>
    <row r="99" customFormat="false" ht="15" hidden="false" customHeight="true" outlineLevel="0" collapsed="false">
      <c r="B99" s="7" t="n">
        <v>7</v>
      </c>
      <c r="C99" s="9" t="str">
        <f aca="false">Quarters!$E$10</f>
        <v>Q3 2023</v>
      </c>
      <c r="D99" s="7" t="s">
        <v>112</v>
      </c>
      <c r="E99" s="7" t="s">
        <v>113</v>
      </c>
      <c r="F99" s="25" t="n">
        <f aca="false">'Capital Call Schedule'!$D$10*'LP Register'!$F$9</f>
        <v>360000</v>
      </c>
      <c r="G99" s="25" t="n">
        <f aca="false">'Capital Call Schedule'!$E$10*'LP Register'!$F$9</f>
        <v>20000</v>
      </c>
      <c r="H99" s="22" t="n">
        <f aca="false">F99+G99</f>
        <v>380000</v>
      </c>
    </row>
    <row r="100" customFormat="false" ht="15" hidden="false" customHeight="true" outlineLevel="0" collapsed="false">
      <c r="B100" s="7" t="n">
        <v>7</v>
      </c>
      <c r="C100" s="9" t="str">
        <f aca="false">Quarters!$E$10</f>
        <v>Q3 2023</v>
      </c>
      <c r="D100" s="7" t="s">
        <v>115</v>
      </c>
      <c r="E100" s="7" t="s">
        <v>116</v>
      </c>
      <c r="F100" s="25" t="n">
        <f aca="false">'Capital Call Schedule'!$D$10*'LP Register'!$F$10</f>
        <v>270000</v>
      </c>
      <c r="G100" s="25" t="n">
        <f aca="false">'Capital Call Schedule'!$E$10*'LP Register'!$F$10</f>
        <v>15000</v>
      </c>
      <c r="H100" s="22" t="n">
        <f aca="false">F100+G100</f>
        <v>285000</v>
      </c>
    </row>
    <row r="101" customFormat="false" ht="15" hidden="false" customHeight="true" outlineLevel="0" collapsed="false">
      <c r="B101" s="7" t="n">
        <v>7</v>
      </c>
      <c r="C101" s="9" t="str">
        <f aca="false">Quarters!$E$10</f>
        <v>Q3 2023</v>
      </c>
      <c r="D101" s="7" t="s">
        <v>117</v>
      </c>
      <c r="E101" s="7" t="s">
        <v>118</v>
      </c>
      <c r="F101" s="25" t="n">
        <f aca="false">'Capital Call Schedule'!$D$10*'LP Register'!$F$11</f>
        <v>225000</v>
      </c>
      <c r="G101" s="25" t="n">
        <f aca="false">'Capital Call Schedule'!$E$10*'LP Register'!$F$11</f>
        <v>12500</v>
      </c>
      <c r="H101" s="22" t="n">
        <f aca="false">F101+G101</f>
        <v>237500</v>
      </c>
    </row>
    <row r="102" customFormat="false" ht="15" hidden="false" customHeight="true" outlineLevel="0" collapsed="false">
      <c r="B102" s="7" t="n">
        <v>7</v>
      </c>
      <c r="C102" s="9" t="str">
        <f aca="false">Quarters!$E$10</f>
        <v>Q3 2023</v>
      </c>
      <c r="D102" s="7" t="s">
        <v>119</v>
      </c>
      <c r="E102" s="7" t="s">
        <v>120</v>
      </c>
      <c r="F102" s="25" t="n">
        <f aca="false">'Capital Call Schedule'!$D$10*'LP Register'!$F$12</f>
        <v>180000</v>
      </c>
      <c r="G102" s="25" t="n">
        <f aca="false">'Capital Call Schedule'!$E$10*'LP Register'!$F$12</f>
        <v>10000</v>
      </c>
      <c r="H102" s="22" t="n">
        <f aca="false">F102+G102</f>
        <v>190000</v>
      </c>
    </row>
    <row r="103" customFormat="false" ht="15" hidden="false" customHeight="true" outlineLevel="0" collapsed="false">
      <c r="B103" s="7" t="n">
        <v>7</v>
      </c>
      <c r="C103" s="9" t="str">
        <f aca="false">Quarters!$E$10</f>
        <v>Q3 2023</v>
      </c>
      <c r="D103" s="7" t="s">
        <v>121</v>
      </c>
      <c r="E103" s="7" t="s">
        <v>122</v>
      </c>
      <c r="F103" s="25" t="n">
        <f aca="false">'Capital Call Schedule'!$D$10*'LP Register'!$F$13</f>
        <v>180000</v>
      </c>
      <c r="G103" s="25" t="n">
        <f aca="false">'Capital Call Schedule'!$E$10*'LP Register'!$F$13</f>
        <v>10000</v>
      </c>
      <c r="H103" s="22" t="n">
        <f aca="false">F103+G103</f>
        <v>190000</v>
      </c>
    </row>
    <row r="104" customFormat="false" ht="15" hidden="false" customHeight="true" outlineLevel="0" collapsed="false">
      <c r="B104" s="7" t="n">
        <v>7</v>
      </c>
      <c r="C104" s="9" t="str">
        <f aca="false">Quarters!$E$10</f>
        <v>Q3 2023</v>
      </c>
      <c r="D104" s="7" t="s">
        <v>124</v>
      </c>
      <c r="E104" s="7" t="s">
        <v>125</v>
      </c>
      <c r="F104" s="25" t="n">
        <f aca="false">'Capital Call Schedule'!$D$10*'LP Register'!$F$14</f>
        <v>162000</v>
      </c>
      <c r="G104" s="25" t="n">
        <f aca="false">'Capital Call Schedule'!$E$10*'LP Register'!$F$14</f>
        <v>9000</v>
      </c>
      <c r="H104" s="22" t="n">
        <f aca="false">F104+G104</f>
        <v>171000</v>
      </c>
    </row>
    <row r="105" customFormat="false" ht="15" hidden="false" customHeight="true" outlineLevel="0" collapsed="false">
      <c r="B105" s="7" t="n">
        <v>7</v>
      </c>
      <c r="C105" s="9" t="str">
        <f aca="false">Quarters!$E$10</f>
        <v>Q3 2023</v>
      </c>
      <c r="D105" s="7" t="s">
        <v>126</v>
      </c>
      <c r="E105" s="7" t="s">
        <v>127</v>
      </c>
      <c r="F105" s="25" t="n">
        <f aca="false">'Capital Call Schedule'!$D$10*'LP Register'!$F$15</f>
        <v>135000</v>
      </c>
      <c r="G105" s="25" t="n">
        <f aca="false">'Capital Call Schedule'!$E$10*'LP Register'!$F$15</f>
        <v>7500</v>
      </c>
      <c r="H105" s="22" t="n">
        <f aca="false">F105+G105</f>
        <v>142500</v>
      </c>
    </row>
    <row r="106" customFormat="false" ht="15" hidden="false" customHeight="true" outlineLevel="0" collapsed="false">
      <c r="B106" s="7" t="n">
        <v>7</v>
      </c>
      <c r="C106" s="9" t="str">
        <f aca="false">Quarters!$E$10</f>
        <v>Q3 2023</v>
      </c>
      <c r="D106" s="7" t="s">
        <v>128</v>
      </c>
      <c r="E106" s="7" t="s">
        <v>129</v>
      </c>
      <c r="F106" s="25" t="n">
        <f aca="false">'Capital Call Schedule'!$D$10*'LP Register'!$F$16</f>
        <v>135000</v>
      </c>
      <c r="G106" s="25" t="n">
        <f aca="false">'Capital Call Schedule'!$E$10*'LP Register'!$F$16</f>
        <v>7500</v>
      </c>
      <c r="H106" s="22" t="n">
        <f aca="false">F106+G106</f>
        <v>142500</v>
      </c>
    </row>
    <row r="107" customFormat="false" ht="15" hidden="false" customHeight="true" outlineLevel="0" collapsed="false">
      <c r="B107" s="7" t="n">
        <v>7</v>
      </c>
      <c r="C107" s="9" t="str">
        <f aca="false">Quarters!$E$10</f>
        <v>Q3 2023</v>
      </c>
      <c r="D107" s="7" t="s">
        <v>130</v>
      </c>
      <c r="E107" s="7" t="s">
        <v>131</v>
      </c>
      <c r="F107" s="25" t="n">
        <f aca="false">'Capital Call Schedule'!$D$10*'LP Register'!$F$17</f>
        <v>144000</v>
      </c>
      <c r="G107" s="25" t="n">
        <f aca="false">'Capital Call Schedule'!$E$10*'LP Register'!$F$17</f>
        <v>8000</v>
      </c>
      <c r="H107" s="22" t="n">
        <f aca="false">F107+G107</f>
        <v>152000</v>
      </c>
    </row>
    <row r="108" customFormat="false" ht="15" hidden="false" customHeight="true" outlineLevel="0" collapsed="false">
      <c r="B108" s="7" t="n">
        <v>7</v>
      </c>
      <c r="C108" s="9" t="str">
        <f aca="false">Quarters!$E$10</f>
        <v>Q3 2023</v>
      </c>
      <c r="D108" s="7" t="s">
        <v>132</v>
      </c>
      <c r="E108" s="7" t="s">
        <v>133</v>
      </c>
      <c r="F108" s="25" t="n">
        <f aca="false">'Capital Call Schedule'!$D$10*'LP Register'!$F$18</f>
        <v>144000</v>
      </c>
      <c r="G108" s="25" t="n">
        <f aca="false">'Capital Call Schedule'!$E$10*'LP Register'!$F$18</f>
        <v>8000</v>
      </c>
      <c r="H108" s="22" t="n">
        <f aca="false">F108+G108</f>
        <v>152000</v>
      </c>
    </row>
    <row r="109" customFormat="false" ht="15" hidden="false" customHeight="true" outlineLevel="0" collapsed="false">
      <c r="B109" s="7" t="n">
        <v>8</v>
      </c>
      <c r="C109" s="9" t="str">
        <f aca="false">Quarters!$E$11</f>
        <v>Q4 2023</v>
      </c>
      <c r="D109" s="7" t="s">
        <v>97</v>
      </c>
      <c r="E109" s="7" t="s">
        <v>98</v>
      </c>
      <c r="F109" s="25" t="n">
        <f aca="false">'Capital Call Schedule'!$D$11*'LP Register'!$F$4</f>
        <v>560000</v>
      </c>
      <c r="G109" s="25" t="n">
        <f aca="false">'Capital Call Schedule'!$E$11*'LP Register'!$F$4</f>
        <v>40000</v>
      </c>
      <c r="H109" s="22" t="n">
        <f aca="false">F109+G109</f>
        <v>600000</v>
      </c>
    </row>
    <row r="110" customFormat="false" ht="15" hidden="false" customHeight="true" outlineLevel="0" collapsed="false">
      <c r="B110" s="7" t="n">
        <v>8</v>
      </c>
      <c r="C110" s="9" t="str">
        <f aca="false">Quarters!$E$11</f>
        <v>Q4 2023</v>
      </c>
      <c r="D110" s="7" t="s">
        <v>100</v>
      </c>
      <c r="E110" s="7" t="s">
        <v>101</v>
      </c>
      <c r="F110" s="25" t="n">
        <f aca="false">'Capital Call Schedule'!$D$11*'LP Register'!$F$5</f>
        <v>420000</v>
      </c>
      <c r="G110" s="25" t="n">
        <f aca="false">'Capital Call Schedule'!$E$11*'LP Register'!$F$5</f>
        <v>30000</v>
      </c>
      <c r="H110" s="22" t="n">
        <f aca="false">F110+G110</f>
        <v>450000</v>
      </c>
    </row>
    <row r="111" customFormat="false" ht="15" hidden="false" customHeight="true" outlineLevel="0" collapsed="false">
      <c r="B111" s="7" t="n">
        <v>8</v>
      </c>
      <c r="C111" s="9" t="str">
        <f aca="false">Quarters!$E$11</f>
        <v>Q4 2023</v>
      </c>
      <c r="D111" s="7" t="s">
        <v>103</v>
      </c>
      <c r="E111" s="7" t="s">
        <v>104</v>
      </c>
      <c r="F111" s="25" t="n">
        <f aca="false">'Capital Call Schedule'!$D$11*'LP Register'!$F$6</f>
        <v>385000</v>
      </c>
      <c r="G111" s="25" t="n">
        <f aca="false">'Capital Call Schedule'!$E$11*'LP Register'!$F$6</f>
        <v>27500</v>
      </c>
      <c r="H111" s="22" t="n">
        <f aca="false">F111+G111</f>
        <v>412500</v>
      </c>
    </row>
    <row r="112" customFormat="false" ht="15" hidden="false" customHeight="true" outlineLevel="0" collapsed="false">
      <c r="B112" s="7" t="n">
        <v>8</v>
      </c>
      <c r="C112" s="9" t="str">
        <f aca="false">Quarters!$E$11</f>
        <v>Q4 2023</v>
      </c>
      <c r="D112" s="7" t="s">
        <v>106</v>
      </c>
      <c r="E112" s="7" t="s">
        <v>107</v>
      </c>
      <c r="F112" s="25" t="n">
        <f aca="false">'Capital Call Schedule'!$D$11*'LP Register'!$F$7</f>
        <v>350000</v>
      </c>
      <c r="G112" s="25" t="n">
        <f aca="false">'Capital Call Schedule'!$E$11*'LP Register'!$F$7</f>
        <v>25000</v>
      </c>
      <c r="H112" s="22" t="n">
        <f aca="false">F112+G112</f>
        <v>375000</v>
      </c>
    </row>
    <row r="113" customFormat="false" ht="15" hidden="false" customHeight="true" outlineLevel="0" collapsed="false">
      <c r="B113" s="7" t="n">
        <v>8</v>
      </c>
      <c r="C113" s="9" t="str">
        <f aca="false">Quarters!$E$11</f>
        <v>Q4 2023</v>
      </c>
      <c r="D113" s="7" t="s">
        <v>109</v>
      </c>
      <c r="E113" s="7" t="s">
        <v>110</v>
      </c>
      <c r="F113" s="25" t="n">
        <f aca="false">'Capital Call Schedule'!$D$11*'LP Register'!$F$8</f>
        <v>280000</v>
      </c>
      <c r="G113" s="25" t="n">
        <f aca="false">'Capital Call Schedule'!$E$11*'LP Register'!$F$8</f>
        <v>20000</v>
      </c>
      <c r="H113" s="22" t="n">
        <f aca="false">F113+G113</f>
        <v>300000</v>
      </c>
    </row>
    <row r="114" customFormat="false" ht="15" hidden="false" customHeight="true" outlineLevel="0" collapsed="false">
      <c r="B114" s="7" t="n">
        <v>8</v>
      </c>
      <c r="C114" s="9" t="str">
        <f aca="false">Quarters!$E$11</f>
        <v>Q4 2023</v>
      </c>
      <c r="D114" s="7" t="s">
        <v>112</v>
      </c>
      <c r="E114" s="7" t="s">
        <v>113</v>
      </c>
      <c r="F114" s="25" t="n">
        <f aca="false">'Capital Call Schedule'!$D$11*'LP Register'!$F$9</f>
        <v>280000</v>
      </c>
      <c r="G114" s="25" t="n">
        <f aca="false">'Capital Call Schedule'!$E$11*'LP Register'!$F$9</f>
        <v>20000</v>
      </c>
      <c r="H114" s="22" t="n">
        <f aca="false">F114+G114</f>
        <v>300000</v>
      </c>
    </row>
    <row r="115" customFormat="false" ht="15" hidden="false" customHeight="true" outlineLevel="0" collapsed="false">
      <c r="B115" s="7" t="n">
        <v>8</v>
      </c>
      <c r="C115" s="9" t="str">
        <f aca="false">Quarters!$E$11</f>
        <v>Q4 2023</v>
      </c>
      <c r="D115" s="7" t="s">
        <v>115</v>
      </c>
      <c r="E115" s="7" t="s">
        <v>116</v>
      </c>
      <c r="F115" s="25" t="n">
        <f aca="false">'Capital Call Schedule'!$D$11*'LP Register'!$F$10</f>
        <v>210000</v>
      </c>
      <c r="G115" s="25" t="n">
        <f aca="false">'Capital Call Schedule'!$E$11*'LP Register'!$F$10</f>
        <v>15000</v>
      </c>
      <c r="H115" s="22" t="n">
        <f aca="false">F115+G115</f>
        <v>225000</v>
      </c>
    </row>
    <row r="116" customFormat="false" ht="15" hidden="false" customHeight="true" outlineLevel="0" collapsed="false">
      <c r="B116" s="7" t="n">
        <v>8</v>
      </c>
      <c r="C116" s="9" t="str">
        <f aca="false">Quarters!$E$11</f>
        <v>Q4 2023</v>
      </c>
      <c r="D116" s="7" t="s">
        <v>117</v>
      </c>
      <c r="E116" s="7" t="s">
        <v>118</v>
      </c>
      <c r="F116" s="25" t="n">
        <f aca="false">'Capital Call Schedule'!$D$11*'LP Register'!$F$11</f>
        <v>175000</v>
      </c>
      <c r="G116" s="25" t="n">
        <f aca="false">'Capital Call Schedule'!$E$11*'LP Register'!$F$11</f>
        <v>12500</v>
      </c>
      <c r="H116" s="22" t="n">
        <f aca="false">F116+G116</f>
        <v>187500</v>
      </c>
    </row>
    <row r="117" customFormat="false" ht="15" hidden="false" customHeight="true" outlineLevel="0" collapsed="false">
      <c r="B117" s="7" t="n">
        <v>8</v>
      </c>
      <c r="C117" s="9" t="str">
        <f aca="false">Quarters!$E$11</f>
        <v>Q4 2023</v>
      </c>
      <c r="D117" s="7" t="s">
        <v>119</v>
      </c>
      <c r="E117" s="7" t="s">
        <v>120</v>
      </c>
      <c r="F117" s="25" t="n">
        <f aca="false">'Capital Call Schedule'!$D$11*'LP Register'!$F$12</f>
        <v>140000</v>
      </c>
      <c r="G117" s="25" t="n">
        <f aca="false">'Capital Call Schedule'!$E$11*'LP Register'!$F$12</f>
        <v>10000</v>
      </c>
      <c r="H117" s="22" t="n">
        <f aca="false">F117+G117</f>
        <v>150000</v>
      </c>
    </row>
    <row r="118" customFormat="false" ht="15" hidden="false" customHeight="true" outlineLevel="0" collapsed="false">
      <c r="B118" s="7" t="n">
        <v>8</v>
      </c>
      <c r="C118" s="9" t="str">
        <f aca="false">Quarters!$E$11</f>
        <v>Q4 2023</v>
      </c>
      <c r="D118" s="7" t="s">
        <v>121</v>
      </c>
      <c r="E118" s="7" t="s">
        <v>122</v>
      </c>
      <c r="F118" s="25" t="n">
        <f aca="false">'Capital Call Schedule'!$D$11*'LP Register'!$F$13</f>
        <v>140000</v>
      </c>
      <c r="G118" s="25" t="n">
        <f aca="false">'Capital Call Schedule'!$E$11*'LP Register'!$F$13</f>
        <v>10000</v>
      </c>
      <c r="H118" s="22" t="n">
        <f aca="false">F118+G118</f>
        <v>150000</v>
      </c>
    </row>
    <row r="119" customFormat="false" ht="15" hidden="false" customHeight="true" outlineLevel="0" collapsed="false">
      <c r="B119" s="7" t="n">
        <v>8</v>
      </c>
      <c r="C119" s="9" t="str">
        <f aca="false">Quarters!$E$11</f>
        <v>Q4 2023</v>
      </c>
      <c r="D119" s="7" t="s">
        <v>124</v>
      </c>
      <c r="E119" s="7" t="s">
        <v>125</v>
      </c>
      <c r="F119" s="25" t="n">
        <f aca="false">'Capital Call Schedule'!$D$11*'LP Register'!$F$14</f>
        <v>126000</v>
      </c>
      <c r="G119" s="25" t="n">
        <f aca="false">'Capital Call Schedule'!$E$11*'LP Register'!$F$14</f>
        <v>9000</v>
      </c>
      <c r="H119" s="22" t="n">
        <f aca="false">F119+G119</f>
        <v>135000</v>
      </c>
    </row>
    <row r="120" customFormat="false" ht="15" hidden="false" customHeight="true" outlineLevel="0" collapsed="false">
      <c r="B120" s="7" t="n">
        <v>8</v>
      </c>
      <c r="C120" s="9" t="str">
        <f aca="false">Quarters!$E$11</f>
        <v>Q4 2023</v>
      </c>
      <c r="D120" s="7" t="s">
        <v>126</v>
      </c>
      <c r="E120" s="7" t="s">
        <v>127</v>
      </c>
      <c r="F120" s="25" t="n">
        <f aca="false">'Capital Call Schedule'!$D$11*'LP Register'!$F$15</f>
        <v>105000</v>
      </c>
      <c r="G120" s="25" t="n">
        <f aca="false">'Capital Call Schedule'!$E$11*'LP Register'!$F$15</f>
        <v>7500</v>
      </c>
      <c r="H120" s="22" t="n">
        <f aca="false">F120+G120</f>
        <v>112500</v>
      </c>
    </row>
    <row r="121" customFormat="false" ht="15" hidden="false" customHeight="true" outlineLevel="0" collapsed="false">
      <c r="B121" s="7" t="n">
        <v>8</v>
      </c>
      <c r="C121" s="9" t="str">
        <f aca="false">Quarters!$E$11</f>
        <v>Q4 2023</v>
      </c>
      <c r="D121" s="7" t="s">
        <v>128</v>
      </c>
      <c r="E121" s="7" t="s">
        <v>129</v>
      </c>
      <c r="F121" s="25" t="n">
        <f aca="false">'Capital Call Schedule'!$D$11*'LP Register'!$F$16</f>
        <v>105000</v>
      </c>
      <c r="G121" s="25" t="n">
        <f aca="false">'Capital Call Schedule'!$E$11*'LP Register'!$F$16</f>
        <v>7500</v>
      </c>
      <c r="H121" s="22" t="n">
        <f aca="false">F121+G121</f>
        <v>112500</v>
      </c>
    </row>
    <row r="122" customFormat="false" ht="15" hidden="false" customHeight="true" outlineLevel="0" collapsed="false">
      <c r="B122" s="7" t="n">
        <v>8</v>
      </c>
      <c r="C122" s="9" t="str">
        <f aca="false">Quarters!$E$11</f>
        <v>Q4 2023</v>
      </c>
      <c r="D122" s="7" t="s">
        <v>130</v>
      </c>
      <c r="E122" s="7" t="s">
        <v>131</v>
      </c>
      <c r="F122" s="25" t="n">
        <f aca="false">'Capital Call Schedule'!$D$11*'LP Register'!$F$17</f>
        <v>112000</v>
      </c>
      <c r="G122" s="25" t="n">
        <f aca="false">'Capital Call Schedule'!$E$11*'LP Register'!$F$17</f>
        <v>8000</v>
      </c>
      <c r="H122" s="22" t="n">
        <f aca="false">F122+G122</f>
        <v>120000</v>
      </c>
    </row>
    <row r="123" customFormat="false" ht="15" hidden="false" customHeight="true" outlineLevel="0" collapsed="false">
      <c r="B123" s="7" t="n">
        <v>8</v>
      </c>
      <c r="C123" s="9" t="str">
        <f aca="false">Quarters!$E$11</f>
        <v>Q4 2023</v>
      </c>
      <c r="D123" s="7" t="s">
        <v>132</v>
      </c>
      <c r="E123" s="7" t="s">
        <v>133</v>
      </c>
      <c r="F123" s="25" t="n">
        <f aca="false">'Capital Call Schedule'!$D$11*'LP Register'!$F$18</f>
        <v>112000</v>
      </c>
      <c r="G123" s="25" t="n">
        <f aca="false">'Capital Call Schedule'!$E$11*'LP Register'!$F$18</f>
        <v>8000</v>
      </c>
      <c r="H123" s="22" t="n">
        <f aca="false">F123+G123</f>
        <v>120000</v>
      </c>
    </row>
    <row r="124" customFormat="false" ht="15" hidden="false" customHeight="true" outlineLevel="0" collapsed="false">
      <c r="B124" s="7" t="n">
        <v>9</v>
      </c>
      <c r="C124" s="9" t="str">
        <f aca="false">Quarters!$E$12</f>
        <v>Q1 2024</v>
      </c>
      <c r="D124" s="7" t="s">
        <v>97</v>
      </c>
      <c r="E124" s="7" t="s">
        <v>98</v>
      </c>
      <c r="F124" s="25" t="n">
        <f aca="false">'Capital Call Schedule'!$D$12*'LP Register'!$F$4</f>
        <v>640000</v>
      </c>
      <c r="G124" s="25" t="n">
        <f aca="false">'Capital Call Schedule'!$E$12*'LP Register'!$F$4</f>
        <v>40000</v>
      </c>
      <c r="H124" s="22" t="n">
        <f aca="false">F124+G124</f>
        <v>680000</v>
      </c>
    </row>
    <row r="125" customFormat="false" ht="15" hidden="false" customHeight="true" outlineLevel="0" collapsed="false">
      <c r="B125" s="7" t="n">
        <v>9</v>
      </c>
      <c r="C125" s="9" t="str">
        <f aca="false">Quarters!$E$12</f>
        <v>Q1 2024</v>
      </c>
      <c r="D125" s="7" t="s">
        <v>100</v>
      </c>
      <c r="E125" s="7" t="s">
        <v>101</v>
      </c>
      <c r="F125" s="25" t="n">
        <f aca="false">'Capital Call Schedule'!$D$12*'LP Register'!$F$5</f>
        <v>480000</v>
      </c>
      <c r="G125" s="25" t="n">
        <f aca="false">'Capital Call Schedule'!$E$12*'LP Register'!$F$5</f>
        <v>30000</v>
      </c>
      <c r="H125" s="22" t="n">
        <f aca="false">F125+G125</f>
        <v>510000</v>
      </c>
    </row>
    <row r="126" customFormat="false" ht="15" hidden="false" customHeight="true" outlineLevel="0" collapsed="false">
      <c r="B126" s="7" t="n">
        <v>9</v>
      </c>
      <c r="C126" s="9" t="str">
        <f aca="false">Quarters!$E$12</f>
        <v>Q1 2024</v>
      </c>
      <c r="D126" s="7" t="s">
        <v>103</v>
      </c>
      <c r="E126" s="7" t="s">
        <v>104</v>
      </c>
      <c r="F126" s="25" t="n">
        <f aca="false">'Capital Call Schedule'!$D$12*'LP Register'!$F$6</f>
        <v>440000</v>
      </c>
      <c r="G126" s="25" t="n">
        <f aca="false">'Capital Call Schedule'!$E$12*'LP Register'!$F$6</f>
        <v>27500</v>
      </c>
      <c r="H126" s="22" t="n">
        <f aca="false">F126+G126</f>
        <v>467500</v>
      </c>
    </row>
    <row r="127" customFormat="false" ht="15" hidden="false" customHeight="true" outlineLevel="0" collapsed="false">
      <c r="B127" s="7" t="n">
        <v>9</v>
      </c>
      <c r="C127" s="9" t="str">
        <f aca="false">Quarters!$E$12</f>
        <v>Q1 2024</v>
      </c>
      <c r="D127" s="7" t="s">
        <v>106</v>
      </c>
      <c r="E127" s="7" t="s">
        <v>107</v>
      </c>
      <c r="F127" s="25" t="n">
        <f aca="false">'Capital Call Schedule'!$D$12*'LP Register'!$F$7</f>
        <v>400000</v>
      </c>
      <c r="G127" s="25" t="n">
        <f aca="false">'Capital Call Schedule'!$E$12*'LP Register'!$F$7</f>
        <v>25000</v>
      </c>
      <c r="H127" s="22" t="n">
        <f aca="false">F127+G127</f>
        <v>425000</v>
      </c>
    </row>
    <row r="128" customFormat="false" ht="15" hidden="false" customHeight="true" outlineLevel="0" collapsed="false">
      <c r="B128" s="7" t="n">
        <v>9</v>
      </c>
      <c r="C128" s="9" t="str">
        <f aca="false">Quarters!$E$12</f>
        <v>Q1 2024</v>
      </c>
      <c r="D128" s="7" t="s">
        <v>109</v>
      </c>
      <c r="E128" s="7" t="s">
        <v>110</v>
      </c>
      <c r="F128" s="25" t="n">
        <f aca="false">'Capital Call Schedule'!$D$12*'LP Register'!$F$8</f>
        <v>320000</v>
      </c>
      <c r="G128" s="25" t="n">
        <f aca="false">'Capital Call Schedule'!$E$12*'LP Register'!$F$8</f>
        <v>20000</v>
      </c>
      <c r="H128" s="22" t="n">
        <f aca="false">F128+G128</f>
        <v>340000</v>
      </c>
    </row>
    <row r="129" customFormat="false" ht="15" hidden="false" customHeight="true" outlineLevel="0" collapsed="false">
      <c r="B129" s="7" t="n">
        <v>9</v>
      </c>
      <c r="C129" s="9" t="str">
        <f aca="false">Quarters!$E$12</f>
        <v>Q1 2024</v>
      </c>
      <c r="D129" s="7" t="s">
        <v>112</v>
      </c>
      <c r="E129" s="7" t="s">
        <v>113</v>
      </c>
      <c r="F129" s="25" t="n">
        <f aca="false">'Capital Call Schedule'!$D$12*'LP Register'!$F$9</f>
        <v>320000</v>
      </c>
      <c r="G129" s="25" t="n">
        <f aca="false">'Capital Call Schedule'!$E$12*'LP Register'!$F$9</f>
        <v>20000</v>
      </c>
      <c r="H129" s="22" t="n">
        <f aca="false">F129+G129</f>
        <v>340000</v>
      </c>
    </row>
    <row r="130" customFormat="false" ht="15" hidden="false" customHeight="true" outlineLevel="0" collapsed="false">
      <c r="B130" s="7" t="n">
        <v>9</v>
      </c>
      <c r="C130" s="9" t="str">
        <f aca="false">Quarters!$E$12</f>
        <v>Q1 2024</v>
      </c>
      <c r="D130" s="7" t="s">
        <v>115</v>
      </c>
      <c r="E130" s="7" t="s">
        <v>116</v>
      </c>
      <c r="F130" s="25" t="n">
        <f aca="false">'Capital Call Schedule'!$D$12*'LP Register'!$F$10</f>
        <v>240000</v>
      </c>
      <c r="G130" s="25" t="n">
        <f aca="false">'Capital Call Schedule'!$E$12*'LP Register'!$F$10</f>
        <v>15000</v>
      </c>
      <c r="H130" s="22" t="n">
        <f aca="false">F130+G130</f>
        <v>255000</v>
      </c>
    </row>
    <row r="131" customFormat="false" ht="15" hidden="false" customHeight="true" outlineLevel="0" collapsed="false">
      <c r="B131" s="7" t="n">
        <v>9</v>
      </c>
      <c r="C131" s="9" t="str">
        <f aca="false">Quarters!$E$12</f>
        <v>Q1 2024</v>
      </c>
      <c r="D131" s="7" t="s">
        <v>117</v>
      </c>
      <c r="E131" s="7" t="s">
        <v>118</v>
      </c>
      <c r="F131" s="25" t="n">
        <f aca="false">'Capital Call Schedule'!$D$12*'LP Register'!$F$11</f>
        <v>200000</v>
      </c>
      <c r="G131" s="25" t="n">
        <f aca="false">'Capital Call Schedule'!$E$12*'LP Register'!$F$11</f>
        <v>12500</v>
      </c>
      <c r="H131" s="22" t="n">
        <f aca="false">F131+G131</f>
        <v>212500</v>
      </c>
    </row>
    <row r="132" customFormat="false" ht="15" hidden="false" customHeight="true" outlineLevel="0" collapsed="false">
      <c r="B132" s="7" t="n">
        <v>9</v>
      </c>
      <c r="C132" s="9" t="str">
        <f aca="false">Quarters!$E$12</f>
        <v>Q1 2024</v>
      </c>
      <c r="D132" s="7" t="s">
        <v>119</v>
      </c>
      <c r="E132" s="7" t="s">
        <v>120</v>
      </c>
      <c r="F132" s="25" t="n">
        <f aca="false">'Capital Call Schedule'!$D$12*'LP Register'!$F$12</f>
        <v>160000</v>
      </c>
      <c r="G132" s="25" t="n">
        <f aca="false">'Capital Call Schedule'!$E$12*'LP Register'!$F$12</f>
        <v>10000</v>
      </c>
      <c r="H132" s="22" t="n">
        <f aca="false">F132+G132</f>
        <v>170000</v>
      </c>
    </row>
    <row r="133" customFormat="false" ht="15" hidden="false" customHeight="true" outlineLevel="0" collapsed="false">
      <c r="B133" s="7" t="n">
        <v>9</v>
      </c>
      <c r="C133" s="9" t="str">
        <f aca="false">Quarters!$E$12</f>
        <v>Q1 2024</v>
      </c>
      <c r="D133" s="7" t="s">
        <v>121</v>
      </c>
      <c r="E133" s="7" t="s">
        <v>122</v>
      </c>
      <c r="F133" s="25" t="n">
        <f aca="false">'Capital Call Schedule'!$D$12*'LP Register'!$F$13</f>
        <v>160000</v>
      </c>
      <c r="G133" s="25" t="n">
        <f aca="false">'Capital Call Schedule'!$E$12*'LP Register'!$F$13</f>
        <v>10000</v>
      </c>
      <c r="H133" s="22" t="n">
        <f aca="false">F133+G133</f>
        <v>170000</v>
      </c>
    </row>
    <row r="134" customFormat="false" ht="15" hidden="false" customHeight="true" outlineLevel="0" collapsed="false">
      <c r="B134" s="7" t="n">
        <v>9</v>
      </c>
      <c r="C134" s="9" t="str">
        <f aca="false">Quarters!$E$12</f>
        <v>Q1 2024</v>
      </c>
      <c r="D134" s="7" t="s">
        <v>124</v>
      </c>
      <c r="E134" s="7" t="s">
        <v>125</v>
      </c>
      <c r="F134" s="25" t="n">
        <f aca="false">'Capital Call Schedule'!$D$12*'LP Register'!$F$14</f>
        <v>144000</v>
      </c>
      <c r="G134" s="25" t="n">
        <f aca="false">'Capital Call Schedule'!$E$12*'LP Register'!$F$14</f>
        <v>9000</v>
      </c>
      <c r="H134" s="22" t="n">
        <f aca="false">F134+G134</f>
        <v>153000</v>
      </c>
    </row>
    <row r="135" customFormat="false" ht="15" hidden="false" customHeight="true" outlineLevel="0" collapsed="false">
      <c r="B135" s="7" t="n">
        <v>9</v>
      </c>
      <c r="C135" s="9" t="str">
        <f aca="false">Quarters!$E$12</f>
        <v>Q1 2024</v>
      </c>
      <c r="D135" s="7" t="s">
        <v>126</v>
      </c>
      <c r="E135" s="7" t="s">
        <v>127</v>
      </c>
      <c r="F135" s="25" t="n">
        <f aca="false">'Capital Call Schedule'!$D$12*'LP Register'!$F$15</f>
        <v>120000</v>
      </c>
      <c r="G135" s="25" t="n">
        <f aca="false">'Capital Call Schedule'!$E$12*'LP Register'!$F$15</f>
        <v>7500</v>
      </c>
      <c r="H135" s="22" t="n">
        <f aca="false">F135+G135</f>
        <v>127500</v>
      </c>
    </row>
    <row r="136" customFormat="false" ht="15" hidden="false" customHeight="true" outlineLevel="0" collapsed="false">
      <c r="B136" s="7" t="n">
        <v>9</v>
      </c>
      <c r="C136" s="9" t="str">
        <f aca="false">Quarters!$E$12</f>
        <v>Q1 2024</v>
      </c>
      <c r="D136" s="7" t="s">
        <v>128</v>
      </c>
      <c r="E136" s="7" t="s">
        <v>129</v>
      </c>
      <c r="F136" s="25" t="n">
        <f aca="false">'Capital Call Schedule'!$D$12*'LP Register'!$F$16</f>
        <v>120000</v>
      </c>
      <c r="G136" s="25" t="n">
        <f aca="false">'Capital Call Schedule'!$E$12*'LP Register'!$F$16</f>
        <v>7500</v>
      </c>
      <c r="H136" s="22" t="n">
        <f aca="false">F136+G136</f>
        <v>127500</v>
      </c>
    </row>
    <row r="137" customFormat="false" ht="15" hidden="false" customHeight="true" outlineLevel="0" collapsed="false">
      <c r="B137" s="7" t="n">
        <v>9</v>
      </c>
      <c r="C137" s="9" t="str">
        <f aca="false">Quarters!$E$12</f>
        <v>Q1 2024</v>
      </c>
      <c r="D137" s="7" t="s">
        <v>130</v>
      </c>
      <c r="E137" s="7" t="s">
        <v>131</v>
      </c>
      <c r="F137" s="25" t="n">
        <f aca="false">'Capital Call Schedule'!$D$12*'LP Register'!$F$17</f>
        <v>128000</v>
      </c>
      <c r="G137" s="25" t="n">
        <f aca="false">'Capital Call Schedule'!$E$12*'LP Register'!$F$17</f>
        <v>8000</v>
      </c>
      <c r="H137" s="22" t="n">
        <f aca="false">F137+G137</f>
        <v>136000</v>
      </c>
    </row>
    <row r="138" customFormat="false" ht="15" hidden="false" customHeight="true" outlineLevel="0" collapsed="false">
      <c r="B138" s="7" t="n">
        <v>9</v>
      </c>
      <c r="C138" s="9" t="str">
        <f aca="false">Quarters!$E$12</f>
        <v>Q1 2024</v>
      </c>
      <c r="D138" s="7" t="s">
        <v>132</v>
      </c>
      <c r="E138" s="7" t="s">
        <v>133</v>
      </c>
      <c r="F138" s="25" t="n">
        <f aca="false">'Capital Call Schedule'!$D$12*'LP Register'!$F$18</f>
        <v>128000</v>
      </c>
      <c r="G138" s="25" t="n">
        <f aca="false">'Capital Call Schedule'!$E$12*'LP Register'!$F$18</f>
        <v>8000</v>
      </c>
      <c r="H138" s="22" t="n">
        <f aca="false">F138+G138</f>
        <v>136000</v>
      </c>
    </row>
    <row r="139" customFormat="false" ht="15" hidden="false" customHeight="true" outlineLevel="0" collapsed="false">
      <c r="B139" s="7" t="n">
        <v>10</v>
      </c>
      <c r="C139" s="9" t="str">
        <f aca="false">Quarters!$E$13</f>
        <v>Q2 2024</v>
      </c>
      <c r="D139" s="7" t="s">
        <v>97</v>
      </c>
      <c r="E139" s="7" t="s">
        <v>98</v>
      </c>
      <c r="F139" s="25" t="n">
        <f aca="false">'Capital Call Schedule'!$D$13*'LP Register'!$F$4</f>
        <v>560000</v>
      </c>
      <c r="G139" s="25" t="n">
        <f aca="false">'Capital Call Schedule'!$E$13*'LP Register'!$F$4</f>
        <v>40000</v>
      </c>
      <c r="H139" s="22" t="n">
        <f aca="false">F139+G139</f>
        <v>600000</v>
      </c>
    </row>
    <row r="140" customFormat="false" ht="15" hidden="false" customHeight="true" outlineLevel="0" collapsed="false">
      <c r="B140" s="7" t="n">
        <v>10</v>
      </c>
      <c r="C140" s="9" t="str">
        <f aca="false">Quarters!$E$13</f>
        <v>Q2 2024</v>
      </c>
      <c r="D140" s="7" t="s">
        <v>100</v>
      </c>
      <c r="E140" s="7" t="s">
        <v>101</v>
      </c>
      <c r="F140" s="25" t="n">
        <f aca="false">'Capital Call Schedule'!$D$13*'LP Register'!$F$5</f>
        <v>420000</v>
      </c>
      <c r="G140" s="25" t="n">
        <f aca="false">'Capital Call Schedule'!$E$13*'LP Register'!$F$5</f>
        <v>30000</v>
      </c>
      <c r="H140" s="22" t="n">
        <f aca="false">F140+G140</f>
        <v>450000</v>
      </c>
    </row>
    <row r="141" customFormat="false" ht="15" hidden="false" customHeight="true" outlineLevel="0" collapsed="false">
      <c r="B141" s="7" t="n">
        <v>10</v>
      </c>
      <c r="C141" s="9" t="str">
        <f aca="false">Quarters!$E$13</f>
        <v>Q2 2024</v>
      </c>
      <c r="D141" s="7" t="s">
        <v>103</v>
      </c>
      <c r="E141" s="7" t="s">
        <v>104</v>
      </c>
      <c r="F141" s="25" t="n">
        <f aca="false">'Capital Call Schedule'!$D$13*'LP Register'!$F$6</f>
        <v>385000</v>
      </c>
      <c r="G141" s="25" t="n">
        <f aca="false">'Capital Call Schedule'!$E$13*'LP Register'!$F$6</f>
        <v>27500</v>
      </c>
      <c r="H141" s="22" t="n">
        <f aca="false">F141+G141</f>
        <v>412500</v>
      </c>
    </row>
    <row r="142" customFormat="false" ht="15" hidden="false" customHeight="true" outlineLevel="0" collapsed="false">
      <c r="B142" s="7" t="n">
        <v>10</v>
      </c>
      <c r="C142" s="9" t="str">
        <f aca="false">Quarters!$E$13</f>
        <v>Q2 2024</v>
      </c>
      <c r="D142" s="7" t="s">
        <v>106</v>
      </c>
      <c r="E142" s="7" t="s">
        <v>107</v>
      </c>
      <c r="F142" s="25" t="n">
        <f aca="false">'Capital Call Schedule'!$D$13*'LP Register'!$F$7</f>
        <v>350000</v>
      </c>
      <c r="G142" s="25" t="n">
        <f aca="false">'Capital Call Schedule'!$E$13*'LP Register'!$F$7</f>
        <v>25000</v>
      </c>
      <c r="H142" s="22" t="n">
        <f aca="false">F142+G142</f>
        <v>375000</v>
      </c>
    </row>
    <row r="143" customFormat="false" ht="15" hidden="false" customHeight="true" outlineLevel="0" collapsed="false">
      <c r="B143" s="7" t="n">
        <v>10</v>
      </c>
      <c r="C143" s="9" t="str">
        <f aca="false">Quarters!$E$13</f>
        <v>Q2 2024</v>
      </c>
      <c r="D143" s="7" t="s">
        <v>109</v>
      </c>
      <c r="E143" s="7" t="s">
        <v>110</v>
      </c>
      <c r="F143" s="25" t="n">
        <f aca="false">'Capital Call Schedule'!$D$13*'LP Register'!$F$8</f>
        <v>280000</v>
      </c>
      <c r="G143" s="25" t="n">
        <f aca="false">'Capital Call Schedule'!$E$13*'LP Register'!$F$8</f>
        <v>20000</v>
      </c>
      <c r="H143" s="22" t="n">
        <f aca="false">F143+G143</f>
        <v>300000</v>
      </c>
    </row>
    <row r="144" customFormat="false" ht="15" hidden="false" customHeight="true" outlineLevel="0" collapsed="false">
      <c r="B144" s="7" t="n">
        <v>10</v>
      </c>
      <c r="C144" s="9" t="str">
        <f aca="false">Quarters!$E$13</f>
        <v>Q2 2024</v>
      </c>
      <c r="D144" s="7" t="s">
        <v>112</v>
      </c>
      <c r="E144" s="7" t="s">
        <v>113</v>
      </c>
      <c r="F144" s="25" t="n">
        <f aca="false">'Capital Call Schedule'!$D$13*'LP Register'!$F$9</f>
        <v>280000</v>
      </c>
      <c r="G144" s="25" t="n">
        <f aca="false">'Capital Call Schedule'!$E$13*'LP Register'!$F$9</f>
        <v>20000</v>
      </c>
      <c r="H144" s="22" t="n">
        <f aca="false">F144+G144</f>
        <v>300000</v>
      </c>
    </row>
    <row r="145" customFormat="false" ht="15" hidden="false" customHeight="true" outlineLevel="0" collapsed="false">
      <c r="B145" s="7" t="n">
        <v>10</v>
      </c>
      <c r="C145" s="9" t="str">
        <f aca="false">Quarters!$E$13</f>
        <v>Q2 2024</v>
      </c>
      <c r="D145" s="7" t="s">
        <v>115</v>
      </c>
      <c r="E145" s="7" t="s">
        <v>116</v>
      </c>
      <c r="F145" s="25" t="n">
        <f aca="false">'Capital Call Schedule'!$D$13*'LP Register'!$F$10</f>
        <v>210000</v>
      </c>
      <c r="G145" s="25" t="n">
        <f aca="false">'Capital Call Schedule'!$E$13*'LP Register'!$F$10</f>
        <v>15000</v>
      </c>
      <c r="H145" s="22" t="n">
        <f aca="false">F145+G145</f>
        <v>225000</v>
      </c>
    </row>
    <row r="146" customFormat="false" ht="15" hidden="false" customHeight="true" outlineLevel="0" collapsed="false">
      <c r="B146" s="7" t="n">
        <v>10</v>
      </c>
      <c r="C146" s="9" t="str">
        <f aca="false">Quarters!$E$13</f>
        <v>Q2 2024</v>
      </c>
      <c r="D146" s="7" t="s">
        <v>117</v>
      </c>
      <c r="E146" s="7" t="s">
        <v>118</v>
      </c>
      <c r="F146" s="25" t="n">
        <f aca="false">'Capital Call Schedule'!$D$13*'LP Register'!$F$11</f>
        <v>175000</v>
      </c>
      <c r="G146" s="25" t="n">
        <f aca="false">'Capital Call Schedule'!$E$13*'LP Register'!$F$11</f>
        <v>12500</v>
      </c>
      <c r="H146" s="22" t="n">
        <f aca="false">F146+G146</f>
        <v>187500</v>
      </c>
    </row>
    <row r="147" customFormat="false" ht="15" hidden="false" customHeight="true" outlineLevel="0" collapsed="false">
      <c r="B147" s="7" t="n">
        <v>10</v>
      </c>
      <c r="C147" s="9" t="str">
        <f aca="false">Quarters!$E$13</f>
        <v>Q2 2024</v>
      </c>
      <c r="D147" s="7" t="s">
        <v>119</v>
      </c>
      <c r="E147" s="7" t="s">
        <v>120</v>
      </c>
      <c r="F147" s="25" t="n">
        <f aca="false">'Capital Call Schedule'!$D$13*'LP Register'!$F$12</f>
        <v>140000</v>
      </c>
      <c r="G147" s="25" t="n">
        <f aca="false">'Capital Call Schedule'!$E$13*'LP Register'!$F$12</f>
        <v>10000</v>
      </c>
      <c r="H147" s="22" t="n">
        <f aca="false">F147+G147</f>
        <v>150000</v>
      </c>
    </row>
    <row r="148" customFormat="false" ht="15" hidden="false" customHeight="true" outlineLevel="0" collapsed="false">
      <c r="B148" s="7" t="n">
        <v>10</v>
      </c>
      <c r="C148" s="9" t="str">
        <f aca="false">Quarters!$E$13</f>
        <v>Q2 2024</v>
      </c>
      <c r="D148" s="7" t="s">
        <v>121</v>
      </c>
      <c r="E148" s="7" t="s">
        <v>122</v>
      </c>
      <c r="F148" s="25" t="n">
        <f aca="false">'Capital Call Schedule'!$D$13*'LP Register'!$F$13</f>
        <v>140000</v>
      </c>
      <c r="G148" s="25" t="n">
        <f aca="false">'Capital Call Schedule'!$E$13*'LP Register'!$F$13</f>
        <v>10000</v>
      </c>
      <c r="H148" s="22" t="n">
        <f aca="false">F148+G148</f>
        <v>150000</v>
      </c>
    </row>
    <row r="149" customFormat="false" ht="15" hidden="false" customHeight="true" outlineLevel="0" collapsed="false">
      <c r="B149" s="7" t="n">
        <v>10</v>
      </c>
      <c r="C149" s="9" t="str">
        <f aca="false">Quarters!$E$13</f>
        <v>Q2 2024</v>
      </c>
      <c r="D149" s="7" t="s">
        <v>124</v>
      </c>
      <c r="E149" s="7" t="s">
        <v>125</v>
      </c>
      <c r="F149" s="25" t="n">
        <f aca="false">'Capital Call Schedule'!$D$13*'LP Register'!$F$14</f>
        <v>126000</v>
      </c>
      <c r="G149" s="25" t="n">
        <f aca="false">'Capital Call Schedule'!$E$13*'LP Register'!$F$14</f>
        <v>9000</v>
      </c>
      <c r="H149" s="22" t="n">
        <f aca="false">F149+G149</f>
        <v>135000</v>
      </c>
    </row>
    <row r="150" customFormat="false" ht="15" hidden="false" customHeight="true" outlineLevel="0" collapsed="false">
      <c r="B150" s="7" t="n">
        <v>10</v>
      </c>
      <c r="C150" s="9" t="str">
        <f aca="false">Quarters!$E$13</f>
        <v>Q2 2024</v>
      </c>
      <c r="D150" s="7" t="s">
        <v>126</v>
      </c>
      <c r="E150" s="7" t="s">
        <v>127</v>
      </c>
      <c r="F150" s="25" t="n">
        <f aca="false">'Capital Call Schedule'!$D$13*'LP Register'!$F$15</f>
        <v>105000</v>
      </c>
      <c r="G150" s="25" t="n">
        <f aca="false">'Capital Call Schedule'!$E$13*'LP Register'!$F$15</f>
        <v>7500</v>
      </c>
      <c r="H150" s="22" t="n">
        <f aca="false">F150+G150</f>
        <v>112500</v>
      </c>
    </row>
    <row r="151" customFormat="false" ht="15" hidden="false" customHeight="true" outlineLevel="0" collapsed="false">
      <c r="B151" s="7" t="n">
        <v>10</v>
      </c>
      <c r="C151" s="9" t="str">
        <f aca="false">Quarters!$E$13</f>
        <v>Q2 2024</v>
      </c>
      <c r="D151" s="7" t="s">
        <v>128</v>
      </c>
      <c r="E151" s="7" t="s">
        <v>129</v>
      </c>
      <c r="F151" s="25" t="n">
        <f aca="false">'Capital Call Schedule'!$D$13*'LP Register'!$F$16</f>
        <v>105000</v>
      </c>
      <c r="G151" s="25" t="n">
        <f aca="false">'Capital Call Schedule'!$E$13*'LP Register'!$F$16</f>
        <v>7500</v>
      </c>
      <c r="H151" s="22" t="n">
        <f aca="false">F151+G151</f>
        <v>112500</v>
      </c>
    </row>
    <row r="152" customFormat="false" ht="15" hidden="false" customHeight="true" outlineLevel="0" collapsed="false">
      <c r="B152" s="7" t="n">
        <v>10</v>
      </c>
      <c r="C152" s="9" t="str">
        <f aca="false">Quarters!$E$13</f>
        <v>Q2 2024</v>
      </c>
      <c r="D152" s="7" t="s">
        <v>130</v>
      </c>
      <c r="E152" s="7" t="s">
        <v>131</v>
      </c>
      <c r="F152" s="25" t="n">
        <f aca="false">'Capital Call Schedule'!$D$13*'LP Register'!$F$17</f>
        <v>112000</v>
      </c>
      <c r="G152" s="25" t="n">
        <f aca="false">'Capital Call Schedule'!$E$13*'LP Register'!$F$17</f>
        <v>8000</v>
      </c>
      <c r="H152" s="22" t="n">
        <f aca="false">F152+G152</f>
        <v>120000</v>
      </c>
    </row>
    <row r="153" customFormat="false" ht="15" hidden="false" customHeight="true" outlineLevel="0" collapsed="false">
      <c r="B153" s="7" t="n">
        <v>10</v>
      </c>
      <c r="C153" s="9" t="str">
        <f aca="false">Quarters!$E$13</f>
        <v>Q2 2024</v>
      </c>
      <c r="D153" s="7" t="s">
        <v>132</v>
      </c>
      <c r="E153" s="7" t="s">
        <v>133</v>
      </c>
      <c r="F153" s="25" t="n">
        <f aca="false">'Capital Call Schedule'!$D$13*'LP Register'!$F$18</f>
        <v>112000</v>
      </c>
      <c r="G153" s="25" t="n">
        <f aca="false">'Capital Call Schedule'!$E$13*'LP Register'!$F$18</f>
        <v>8000</v>
      </c>
      <c r="H153" s="22" t="n">
        <f aca="false">F153+G153</f>
        <v>120000</v>
      </c>
    </row>
    <row r="154" customFormat="false" ht="15" hidden="false" customHeight="true" outlineLevel="0" collapsed="false">
      <c r="B154" s="7" t="n">
        <v>11</v>
      </c>
      <c r="C154" s="9" t="str">
        <f aca="false">Quarters!$E$14</f>
        <v>Q3 2024</v>
      </c>
      <c r="D154" s="7" t="s">
        <v>97</v>
      </c>
      <c r="E154" s="7" t="s">
        <v>98</v>
      </c>
      <c r="F154" s="25" t="n">
        <f aca="false">'Capital Call Schedule'!$D$14*'LP Register'!$F$4</f>
        <v>0</v>
      </c>
      <c r="G154" s="25" t="n">
        <f aca="false">'Capital Call Schedule'!$E$14*'LP Register'!$F$4</f>
        <v>40000</v>
      </c>
      <c r="H154" s="22" t="n">
        <f aca="false">F154+G154</f>
        <v>40000</v>
      </c>
    </row>
    <row r="155" customFormat="false" ht="15" hidden="false" customHeight="true" outlineLevel="0" collapsed="false">
      <c r="B155" s="7" t="n">
        <v>11</v>
      </c>
      <c r="C155" s="9" t="str">
        <f aca="false">Quarters!$E$14</f>
        <v>Q3 2024</v>
      </c>
      <c r="D155" s="7" t="s">
        <v>100</v>
      </c>
      <c r="E155" s="7" t="s">
        <v>101</v>
      </c>
      <c r="F155" s="25" t="n">
        <f aca="false">'Capital Call Schedule'!$D$14*'LP Register'!$F$5</f>
        <v>0</v>
      </c>
      <c r="G155" s="25" t="n">
        <f aca="false">'Capital Call Schedule'!$E$14*'LP Register'!$F$5</f>
        <v>30000</v>
      </c>
      <c r="H155" s="22" t="n">
        <f aca="false">F155+G155</f>
        <v>30000</v>
      </c>
    </row>
    <row r="156" customFormat="false" ht="15" hidden="false" customHeight="true" outlineLevel="0" collapsed="false">
      <c r="B156" s="7" t="n">
        <v>11</v>
      </c>
      <c r="C156" s="9" t="str">
        <f aca="false">Quarters!$E$14</f>
        <v>Q3 2024</v>
      </c>
      <c r="D156" s="7" t="s">
        <v>103</v>
      </c>
      <c r="E156" s="7" t="s">
        <v>104</v>
      </c>
      <c r="F156" s="25" t="n">
        <f aca="false">'Capital Call Schedule'!$D$14*'LP Register'!$F$6</f>
        <v>0</v>
      </c>
      <c r="G156" s="25" t="n">
        <f aca="false">'Capital Call Schedule'!$E$14*'LP Register'!$F$6</f>
        <v>27500</v>
      </c>
      <c r="H156" s="22" t="n">
        <f aca="false">F156+G156</f>
        <v>27500</v>
      </c>
    </row>
    <row r="157" customFormat="false" ht="15" hidden="false" customHeight="true" outlineLevel="0" collapsed="false">
      <c r="B157" s="7" t="n">
        <v>11</v>
      </c>
      <c r="C157" s="9" t="str">
        <f aca="false">Quarters!$E$14</f>
        <v>Q3 2024</v>
      </c>
      <c r="D157" s="7" t="s">
        <v>106</v>
      </c>
      <c r="E157" s="7" t="s">
        <v>107</v>
      </c>
      <c r="F157" s="25" t="n">
        <f aca="false">'Capital Call Schedule'!$D$14*'LP Register'!$F$7</f>
        <v>0</v>
      </c>
      <c r="G157" s="25" t="n">
        <f aca="false">'Capital Call Schedule'!$E$14*'LP Register'!$F$7</f>
        <v>25000</v>
      </c>
      <c r="H157" s="22" t="n">
        <f aca="false">F157+G157</f>
        <v>25000</v>
      </c>
    </row>
    <row r="158" customFormat="false" ht="15" hidden="false" customHeight="true" outlineLevel="0" collapsed="false">
      <c r="B158" s="7" t="n">
        <v>11</v>
      </c>
      <c r="C158" s="9" t="str">
        <f aca="false">Quarters!$E$14</f>
        <v>Q3 2024</v>
      </c>
      <c r="D158" s="7" t="s">
        <v>109</v>
      </c>
      <c r="E158" s="7" t="s">
        <v>110</v>
      </c>
      <c r="F158" s="25" t="n">
        <f aca="false">'Capital Call Schedule'!$D$14*'LP Register'!$F$8</f>
        <v>0</v>
      </c>
      <c r="G158" s="25" t="n">
        <f aca="false">'Capital Call Schedule'!$E$14*'LP Register'!$F$8</f>
        <v>20000</v>
      </c>
      <c r="H158" s="22" t="n">
        <f aca="false">F158+G158</f>
        <v>20000</v>
      </c>
    </row>
    <row r="159" customFormat="false" ht="15" hidden="false" customHeight="true" outlineLevel="0" collapsed="false">
      <c r="B159" s="7" t="n">
        <v>11</v>
      </c>
      <c r="C159" s="9" t="str">
        <f aca="false">Quarters!$E$14</f>
        <v>Q3 2024</v>
      </c>
      <c r="D159" s="7" t="s">
        <v>112</v>
      </c>
      <c r="E159" s="7" t="s">
        <v>113</v>
      </c>
      <c r="F159" s="25" t="n">
        <f aca="false">'Capital Call Schedule'!$D$14*'LP Register'!$F$9</f>
        <v>0</v>
      </c>
      <c r="G159" s="25" t="n">
        <f aca="false">'Capital Call Schedule'!$E$14*'LP Register'!$F$9</f>
        <v>20000</v>
      </c>
      <c r="H159" s="22" t="n">
        <f aca="false">F159+G159</f>
        <v>20000</v>
      </c>
    </row>
    <row r="160" customFormat="false" ht="15" hidden="false" customHeight="true" outlineLevel="0" collapsed="false">
      <c r="B160" s="7" t="n">
        <v>11</v>
      </c>
      <c r="C160" s="9" t="str">
        <f aca="false">Quarters!$E$14</f>
        <v>Q3 2024</v>
      </c>
      <c r="D160" s="7" t="s">
        <v>115</v>
      </c>
      <c r="E160" s="7" t="s">
        <v>116</v>
      </c>
      <c r="F160" s="25" t="n">
        <f aca="false">'Capital Call Schedule'!$D$14*'LP Register'!$F$10</f>
        <v>0</v>
      </c>
      <c r="G160" s="25" t="n">
        <f aca="false">'Capital Call Schedule'!$E$14*'LP Register'!$F$10</f>
        <v>15000</v>
      </c>
      <c r="H160" s="22" t="n">
        <f aca="false">F160+G160</f>
        <v>15000</v>
      </c>
    </row>
    <row r="161" customFormat="false" ht="15" hidden="false" customHeight="true" outlineLevel="0" collapsed="false">
      <c r="B161" s="7" t="n">
        <v>11</v>
      </c>
      <c r="C161" s="9" t="str">
        <f aca="false">Quarters!$E$14</f>
        <v>Q3 2024</v>
      </c>
      <c r="D161" s="7" t="s">
        <v>117</v>
      </c>
      <c r="E161" s="7" t="s">
        <v>118</v>
      </c>
      <c r="F161" s="25" t="n">
        <f aca="false">'Capital Call Schedule'!$D$14*'LP Register'!$F$11</f>
        <v>0</v>
      </c>
      <c r="G161" s="25" t="n">
        <f aca="false">'Capital Call Schedule'!$E$14*'LP Register'!$F$11</f>
        <v>12500</v>
      </c>
      <c r="H161" s="22" t="n">
        <f aca="false">F161+G161</f>
        <v>12500</v>
      </c>
    </row>
    <row r="162" customFormat="false" ht="15" hidden="false" customHeight="true" outlineLevel="0" collapsed="false">
      <c r="B162" s="7" t="n">
        <v>11</v>
      </c>
      <c r="C162" s="9" t="str">
        <f aca="false">Quarters!$E$14</f>
        <v>Q3 2024</v>
      </c>
      <c r="D162" s="7" t="s">
        <v>119</v>
      </c>
      <c r="E162" s="7" t="s">
        <v>120</v>
      </c>
      <c r="F162" s="25" t="n">
        <f aca="false">'Capital Call Schedule'!$D$14*'LP Register'!$F$12</f>
        <v>0</v>
      </c>
      <c r="G162" s="25" t="n">
        <f aca="false">'Capital Call Schedule'!$E$14*'LP Register'!$F$12</f>
        <v>10000</v>
      </c>
      <c r="H162" s="22" t="n">
        <f aca="false">F162+G162</f>
        <v>10000</v>
      </c>
    </row>
    <row r="163" customFormat="false" ht="15" hidden="false" customHeight="true" outlineLevel="0" collapsed="false">
      <c r="B163" s="7" t="n">
        <v>11</v>
      </c>
      <c r="C163" s="9" t="str">
        <f aca="false">Quarters!$E$14</f>
        <v>Q3 2024</v>
      </c>
      <c r="D163" s="7" t="s">
        <v>121</v>
      </c>
      <c r="E163" s="7" t="s">
        <v>122</v>
      </c>
      <c r="F163" s="25" t="n">
        <f aca="false">'Capital Call Schedule'!$D$14*'LP Register'!$F$13</f>
        <v>0</v>
      </c>
      <c r="G163" s="25" t="n">
        <f aca="false">'Capital Call Schedule'!$E$14*'LP Register'!$F$13</f>
        <v>10000</v>
      </c>
      <c r="H163" s="22" t="n">
        <f aca="false">F163+G163</f>
        <v>10000</v>
      </c>
    </row>
    <row r="164" customFormat="false" ht="15" hidden="false" customHeight="true" outlineLevel="0" collapsed="false">
      <c r="B164" s="7" t="n">
        <v>11</v>
      </c>
      <c r="C164" s="9" t="str">
        <f aca="false">Quarters!$E$14</f>
        <v>Q3 2024</v>
      </c>
      <c r="D164" s="7" t="s">
        <v>124</v>
      </c>
      <c r="E164" s="7" t="s">
        <v>125</v>
      </c>
      <c r="F164" s="25" t="n">
        <f aca="false">'Capital Call Schedule'!$D$14*'LP Register'!$F$14</f>
        <v>0</v>
      </c>
      <c r="G164" s="25" t="n">
        <f aca="false">'Capital Call Schedule'!$E$14*'LP Register'!$F$14</f>
        <v>9000</v>
      </c>
      <c r="H164" s="22" t="n">
        <f aca="false">F164+G164</f>
        <v>9000</v>
      </c>
    </row>
    <row r="165" customFormat="false" ht="15" hidden="false" customHeight="true" outlineLevel="0" collapsed="false">
      <c r="B165" s="7" t="n">
        <v>11</v>
      </c>
      <c r="C165" s="9" t="str">
        <f aca="false">Quarters!$E$14</f>
        <v>Q3 2024</v>
      </c>
      <c r="D165" s="7" t="s">
        <v>126</v>
      </c>
      <c r="E165" s="7" t="s">
        <v>127</v>
      </c>
      <c r="F165" s="25" t="n">
        <f aca="false">'Capital Call Schedule'!$D$14*'LP Register'!$F$15</f>
        <v>0</v>
      </c>
      <c r="G165" s="25" t="n">
        <f aca="false">'Capital Call Schedule'!$E$14*'LP Register'!$F$15</f>
        <v>7500</v>
      </c>
      <c r="H165" s="22" t="n">
        <f aca="false">F165+G165</f>
        <v>7500</v>
      </c>
    </row>
    <row r="166" customFormat="false" ht="15" hidden="false" customHeight="true" outlineLevel="0" collapsed="false">
      <c r="B166" s="7" t="n">
        <v>11</v>
      </c>
      <c r="C166" s="9" t="str">
        <f aca="false">Quarters!$E$14</f>
        <v>Q3 2024</v>
      </c>
      <c r="D166" s="7" t="s">
        <v>128</v>
      </c>
      <c r="E166" s="7" t="s">
        <v>129</v>
      </c>
      <c r="F166" s="25" t="n">
        <f aca="false">'Capital Call Schedule'!$D$14*'LP Register'!$F$16</f>
        <v>0</v>
      </c>
      <c r="G166" s="25" t="n">
        <f aca="false">'Capital Call Schedule'!$E$14*'LP Register'!$F$16</f>
        <v>7500</v>
      </c>
      <c r="H166" s="22" t="n">
        <f aca="false">F166+G166</f>
        <v>7500</v>
      </c>
    </row>
    <row r="167" customFormat="false" ht="15" hidden="false" customHeight="true" outlineLevel="0" collapsed="false">
      <c r="B167" s="7" t="n">
        <v>11</v>
      </c>
      <c r="C167" s="9" t="str">
        <f aca="false">Quarters!$E$14</f>
        <v>Q3 2024</v>
      </c>
      <c r="D167" s="7" t="s">
        <v>130</v>
      </c>
      <c r="E167" s="7" t="s">
        <v>131</v>
      </c>
      <c r="F167" s="25" t="n">
        <f aca="false">'Capital Call Schedule'!$D$14*'LP Register'!$F$17</f>
        <v>0</v>
      </c>
      <c r="G167" s="25" t="n">
        <f aca="false">'Capital Call Schedule'!$E$14*'LP Register'!$F$17</f>
        <v>8000</v>
      </c>
      <c r="H167" s="22" t="n">
        <f aca="false">F167+G167</f>
        <v>8000</v>
      </c>
    </row>
    <row r="168" customFormat="false" ht="15" hidden="false" customHeight="true" outlineLevel="0" collapsed="false">
      <c r="B168" s="7" t="n">
        <v>11</v>
      </c>
      <c r="C168" s="9" t="str">
        <f aca="false">Quarters!$E$14</f>
        <v>Q3 2024</v>
      </c>
      <c r="D168" s="7" t="s">
        <v>132</v>
      </c>
      <c r="E168" s="7" t="s">
        <v>133</v>
      </c>
      <c r="F168" s="25" t="n">
        <f aca="false">'Capital Call Schedule'!$D$14*'LP Register'!$F$18</f>
        <v>0</v>
      </c>
      <c r="G168" s="25" t="n">
        <f aca="false">'Capital Call Schedule'!$E$14*'LP Register'!$F$18</f>
        <v>8000</v>
      </c>
      <c r="H168" s="22" t="n">
        <f aca="false">F168+G168</f>
        <v>8000</v>
      </c>
    </row>
    <row r="169" customFormat="false" ht="15" hidden="false" customHeight="true" outlineLevel="0" collapsed="false">
      <c r="B169" s="7" t="n">
        <v>12</v>
      </c>
      <c r="C169" s="9" t="str">
        <f aca="false">Quarters!$E$15</f>
        <v>Q4 2024</v>
      </c>
      <c r="D169" s="7" t="s">
        <v>97</v>
      </c>
      <c r="E169" s="7" t="s">
        <v>98</v>
      </c>
      <c r="F169" s="25" t="n">
        <f aca="false">'Capital Call Schedule'!$D$15*'LP Register'!$F$4</f>
        <v>0</v>
      </c>
      <c r="G169" s="25" t="n">
        <f aca="false">'Capital Call Schedule'!$E$15*'LP Register'!$F$4</f>
        <v>40000</v>
      </c>
      <c r="H169" s="22" t="n">
        <f aca="false">F169+G169</f>
        <v>40000</v>
      </c>
    </row>
    <row r="170" customFormat="false" ht="15" hidden="false" customHeight="true" outlineLevel="0" collapsed="false">
      <c r="B170" s="7" t="n">
        <v>12</v>
      </c>
      <c r="C170" s="9" t="str">
        <f aca="false">Quarters!$E$15</f>
        <v>Q4 2024</v>
      </c>
      <c r="D170" s="7" t="s">
        <v>100</v>
      </c>
      <c r="E170" s="7" t="s">
        <v>101</v>
      </c>
      <c r="F170" s="25" t="n">
        <f aca="false">'Capital Call Schedule'!$D$15*'LP Register'!$F$5</f>
        <v>0</v>
      </c>
      <c r="G170" s="25" t="n">
        <f aca="false">'Capital Call Schedule'!$E$15*'LP Register'!$F$5</f>
        <v>30000</v>
      </c>
      <c r="H170" s="22" t="n">
        <f aca="false">F170+G170</f>
        <v>30000</v>
      </c>
    </row>
    <row r="171" customFormat="false" ht="15" hidden="false" customHeight="true" outlineLevel="0" collapsed="false">
      <c r="B171" s="7" t="n">
        <v>12</v>
      </c>
      <c r="C171" s="9" t="str">
        <f aca="false">Quarters!$E$15</f>
        <v>Q4 2024</v>
      </c>
      <c r="D171" s="7" t="s">
        <v>103</v>
      </c>
      <c r="E171" s="7" t="s">
        <v>104</v>
      </c>
      <c r="F171" s="25" t="n">
        <f aca="false">'Capital Call Schedule'!$D$15*'LP Register'!$F$6</f>
        <v>0</v>
      </c>
      <c r="G171" s="25" t="n">
        <f aca="false">'Capital Call Schedule'!$E$15*'LP Register'!$F$6</f>
        <v>27500</v>
      </c>
      <c r="H171" s="22" t="n">
        <f aca="false">F171+G171</f>
        <v>27500</v>
      </c>
    </row>
    <row r="172" customFormat="false" ht="15" hidden="false" customHeight="true" outlineLevel="0" collapsed="false">
      <c r="B172" s="7" t="n">
        <v>12</v>
      </c>
      <c r="C172" s="9" t="str">
        <f aca="false">Quarters!$E$15</f>
        <v>Q4 2024</v>
      </c>
      <c r="D172" s="7" t="s">
        <v>106</v>
      </c>
      <c r="E172" s="7" t="s">
        <v>107</v>
      </c>
      <c r="F172" s="25" t="n">
        <f aca="false">'Capital Call Schedule'!$D$15*'LP Register'!$F$7</f>
        <v>0</v>
      </c>
      <c r="G172" s="25" t="n">
        <f aca="false">'Capital Call Schedule'!$E$15*'LP Register'!$F$7</f>
        <v>25000</v>
      </c>
      <c r="H172" s="22" t="n">
        <f aca="false">F172+G172</f>
        <v>25000</v>
      </c>
    </row>
    <row r="173" customFormat="false" ht="15" hidden="false" customHeight="true" outlineLevel="0" collapsed="false">
      <c r="B173" s="7" t="n">
        <v>12</v>
      </c>
      <c r="C173" s="9" t="str">
        <f aca="false">Quarters!$E$15</f>
        <v>Q4 2024</v>
      </c>
      <c r="D173" s="7" t="s">
        <v>109</v>
      </c>
      <c r="E173" s="7" t="s">
        <v>110</v>
      </c>
      <c r="F173" s="25" t="n">
        <f aca="false">'Capital Call Schedule'!$D$15*'LP Register'!$F$8</f>
        <v>0</v>
      </c>
      <c r="G173" s="25" t="n">
        <f aca="false">'Capital Call Schedule'!$E$15*'LP Register'!$F$8</f>
        <v>20000</v>
      </c>
      <c r="H173" s="22" t="n">
        <f aca="false">F173+G173</f>
        <v>20000</v>
      </c>
    </row>
    <row r="174" customFormat="false" ht="15" hidden="false" customHeight="true" outlineLevel="0" collapsed="false">
      <c r="B174" s="7" t="n">
        <v>12</v>
      </c>
      <c r="C174" s="9" t="str">
        <f aca="false">Quarters!$E$15</f>
        <v>Q4 2024</v>
      </c>
      <c r="D174" s="7" t="s">
        <v>112</v>
      </c>
      <c r="E174" s="7" t="s">
        <v>113</v>
      </c>
      <c r="F174" s="25" t="n">
        <f aca="false">'Capital Call Schedule'!$D$15*'LP Register'!$F$9</f>
        <v>0</v>
      </c>
      <c r="G174" s="25" t="n">
        <f aca="false">'Capital Call Schedule'!$E$15*'LP Register'!$F$9</f>
        <v>20000</v>
      </c>
      <c r="H174" s="22" t="n">
        <f aca="false">F174+G174</f>
        <v>20000</v>
      </c>
    </row>
    <row r="175" customFormat="false" ht="15" hidden="false" customHeight="true" outlineLevel="0" collapsed="false">
      <c r="B175" s="7" t="n">
        <v>12</v>
      </c>
      <c r="C175" s="9" t="str">
        <f aca="false">Quarters!$E$15</f>
        <v>Q4 2024</v>
      </c>
      <c r="D175" s="7" t="s">
        <v>115</v>
      </c>
      <c r="E175" s="7" t="s">
        <v>116</v>
      </c>
      <c r="F175" s="25" t="n">
        <f aca="false">'Capital Call Schedule'!$D$15*'LP Register'!$F$10</f>
        <v>0</v>
      </c>
      <c r="G175" s="25" t="n">
        <f aca="false">'Capital Call Schedule'!$E$15*'LP Register'!$F$10</f>
        <v>15000</v>
      </c>
      <c r="H175" s="22" t="n">
        <f aca="false">F175+G175</f>
        <v>15000</v>
      </c>
    </row>
    <row r="176" customFormat="false" ht="15" hidden="false" customHeight="true" outlineLevel="0" collapsed="false">
      <c r="B176" s="7" t="n">
        <v>12</v>
      </c>
      <c r="C176" s="9" t="str">
        <f aca="false">Quarters!$E$15</f>
        <v>Q4 2024</v>
      </c>
      <c r="D176" s="7" t="s">
        <v>117</v>
      </c>
      <c r="E176" s="7" t="s">
        <v>118</v>
      </c>
      <c r="F176" s="25" t="n">
        <f aca="false">'Capital Call Schedule'!$D$15*'LP Register'!$F$11</f>
        <v>0</v>
      </c>
      <c r="G176" s="25" t="n">
        <f aca="false">'Capital Call Schedule'!$E$15*'LP Register'!$F$11</f>
        <v>12500</v>
      </c>
      <c r="H176" s="22" t="n">
        <f aca="false">F176+G176</f>
        <v>12500</v>
      </c>
    </row>
    <row r="177" customFormat="false" ht="15" hidden="false" customHeight="true" outlineLevel="0" collapsed="false">
      <c r="B177" s="7" t="n">
        <v>12</v>
      </c>
      <c r="C177" s="9" t="str">
        <f aca="false">Quarters!$E$15</f>
        <v>Q4 2024</v>
      </c>
      <c r="D177" s="7" t="s">
        <v>119</v>
      </c>
      <c r="E177" s="7" t="s">
        <v>120</v>
      </c>
      <c r="F177" s="25" t="n">
        <f aca="false">'Capital Call Schedule'!$D$15*'LP Register'!$F$12</f>
        <v>0</v>
      </c>
      <c r="G177" s="25" t="n">
        <f aca="false">'Capital Call Schedule'!$E$15*'LP Register'!$F$12</f>
        <v>10000</v>
      </c>
      <c r="H177" s="22" t="n">
        <f aca="false">F177+G177</f>
        <v>10000</v>
      </c>
    </row>
    <row r="178" customFormat="false" ht="15" hidden="false" customHeight="true" outlineLevel="0" collapsed="false">
      <c r="B178" s="7" t="n">
        <v>12</v>
      </c>
      <c r="C178" s="9" t="str">
        <f aca="false">Quarters!$E$15</f>
        <v>Q4 2024</v>
      </c>
      <c r="D178" s="7" t="s">
        <v>121</v>
      </c>
      <c r="E178" s="7" t="s">
        <v>122</v>
      </c>
      <c r="F178" s="25" t="n">
        <f aca="false">'Capital Call Schedule'!$D$15*'LP Register'!$F$13</f>
        <v>0</v>
      </c>
      <c r="G178" s="25" t="n">
        <f aca="false">'Capital Call Schedule'!$E$15*'LP Register'!$F$13</f>
        <v>10000</v>
      </c>
      <c r="H178" s="22" t="n">
        <f aca="false">F178+G178</f>
        <v>10000</v>
      </c>
    </row>
    <row r="179" customFormat="false" ht="15" hidden="false" customHeight="true" outlineLevel="0" collapsed="false">
      <c r="B179" s="7" t="n">
        <v>12</v>
      </c>
      <c r="C179" s="9" t="str">
        <f aca="false">Quarters!$E$15</f>
        <v>Q4 2024</v>
      </c>
      <c r="D179" s="7" t="s">
        <v>124</v>
      </c>
      <c r="E179" s="7" t="s">
        <v>125</v>
      </c>
      <c r="F179" s="25" t="n">
        <f aca="false">'Capital Call Schedule'!$D$15*'LP Register'!$F$14</f>
        <v>0</v>
      </c>
      <c r="G179" s="25" t="n">
        <f aca="false">'Capital Call Schedule'!$E$15*'LP Register'!$F$14</f>
        <v>9000</v>
      </c>
      <c r="H179" s="22" t="n">
        <f aca="false">F179+G179</f>
        <v>9000</v>
      </c>
    </row>
    <row r="180" customFormat="false" ht="15" hidden="false" customHeight="true" outlineLevel="0" collapsed="false">
      <c r="B180" s="7" t="n">
        <v>12</v>
      </c>
      <c r="C180" s="9" t="str">
        <f aca="false">Quarters!$E$15</f>
        <v>Q4 2024</v>
      </c>
      <c r="D180" s="7" t="s">
        <v>126</v>
      </c>
      <c r="E180" s="7" t="s">
        <v>127</v>
      </c>
      <c r="F180" s="25" t="n">
        <f aca="false">'Capital Call Schedule'!$D$15*'LP Register'!$F$15</f>
        <v>0</v>
      </c>
      <c r="G180" s="25" t="n">
        <f aca="false">'Capital Call Schedule'!$E$15*'LP Register'!$F$15</f>
        <v>7500</v>
      </c>
      <c r="H180" s="22" t="n">
        <f aca="false">F180+G180</f>
        <v>7500</v>
      </c>
    </row>
    <row r="181" customFormat="false" ht="15" hidden="false" customHeight="true" outlineLevel="0" collapsed="false">
      <c r="B181" s="7" t="n">
        <v>12</v>
      </c>
      <c r="C181" s="9" t="str">
        <f aca="false">Quarters!$E$15</f>
        <v>Q4 2024</v>
      </c>
      <c r="D181" s="7" t="s">
        <v>128</v>
      </c>
      <c r="E181" s="7" t="s">
        <v>129</v>
      </c>
      <c r="F181" s="25" t="n">
        <f aca="false">'Capital Call Schedule'!$D$15*'LP Register'!$F$16</f>
        <v>0</v>
      </c>
      <c r="G181" s="25" t="n">
        <f aca="false">'Capital Call Schedule'!$E$15*'LP Register'!$F$16</f>
        <v>7500</v>
      </c>
      <c r="H181" s="22" t="n">
        <f aca="false">F181+G181</f>
        <v>7500</v>
      </c>
    </row>
    <row r="182" customFormat="false" ht="15" hidden="false" customHeight="true" outlineLevel="0" collapsed="false">
      <c r="B182" s="7" t="n">
        <v>12</v>
      </c>
      <c r="C182" s="9" t="str">
        <f aca="false">Quarters!$E$15</f>
        <v>Q4 2024</v>
      </c>
      <c r="D182" s="7" t="s">
        <v>130</v>
      </c>
      <c r="E182" s="7" t="s">
        <v>131</v>
      </c>
      <c r="F182" s="25" t="n">
        <f aca="false">'Capital Call Schedule'!$D$15*'LP Register'!$F$17</f>
        <v>0</v>
      </c>
      <c r="G182" s="25" t="n">
        <f aca="false">'Capital Call Schedule'!$E$15*'LP Register'!$F$17</f>
        <v>8000</v>
      </c>
      <c r="H182" s="22" t="n">
        <f aca="false">F182+G182</f>
        <v>8000</v>
      </c>
    </row>
    <row r="183" customFormat="false" ht="15" hidden="false" customHeight="true" outlineLevel="0" collapsed="false">
      <c r="B183" s="7" t="n">
        <v>12</v>
      </c>
      <c r="C183" s="9" t="str">
        <f aca="false">Quarters!$E$15</f>
        <v>Q4 2024</v>
      </c>
      <c r="D183" s="7" t="s">
        <v>132</v>
      </c>
      <c r="E183" s="7" t="s">
        <v>133</v>
      </c>
      <c r="F183" s="25" t="n">
        <f aca="false">'Capital Call Schedule'!$D$15*'LP Register'!$F$18</f>
        <v>0</v>
      </c>
      <c r="G183" s="25" t="n">
        <f aca="false">'Capital Call Schedule'!$E$15*'LP Register'!$F$18</f>
        <v>8000</v>
      </c>
      <c r="H183" s="22" t="n">
        <f aca="false">F183+G183</f>
        <v>8000</v>
      </c>
    </row>
    <row r="184" customFormat="false" ht="15" hidden="false" customHeight="true" outlineLevel="0" collapsed="false">
      <c r="B184" s="7" t="n">
        <v>13</v>
      </c>
      <c r="C184" s="9" t="str">
        <f aca="false">Quarters!$E$16</f>
        <v>Q1 2025</v>
      </c>
      <c r="D184" s="7" t="s">
        <v>97</v>
      </c>
      <c r="E184" s="7" t="s">
        <v>98</v>
      </c>
      <c r="F184" s="25" t="n">
        <f aca="false">'Capital Call Schedule'!$D$16*'LP Register'!$F$4</f>
        <v>0</v>
      </c>
      <c r="G184" s="25" t="n">
        <f aca="false">'Capital Call Schedule'!$E$16*'LP Register'!$F$4</f>
        <v>36400</v>
      </c>
      <c r="H184" s="22" t="n">
        <f aca="false">F184+G184</f>
        <v>36400</v>
      </c>
    </row>
    <row r="185" customFormat="false" ht="15" hidden="false" customHeight="true" outlineLevel="0" collapsed="false">
      <c r="B185" s="7" t="n">
        <v>13</v>
      </c>
      <c r="C185" s="9" t="str">
        <f aca="false">Quarters!$E$16</f>
        <v>Q1 2025</v>
      </c>
      <c r="D185" s="7" t="s">
        <v>100</v>
      </c>
      <c r="E185" s="7" t="s">
        <v>101</v>
      </c>
      <c r="F185" s="25" t="n">
        <f aca="false">'Capital Call Schedule'!$D$16*'LP Register'!$F$5</f>
        <v>0</v>
      </c>
      <c r="G185" s="25" t="n">
        <f aca="false">'Capital Call Schedule'!$E$16*'LP Register'!$F$5</f>
        <v>27300</v>
      </c>
      <c r="H185" s="22" t="n">
        <f aca="false">F185+G185</f>
        <v>27300</v>
      </c>
    </row>
    <row r="186" customFormat="false" ht="15" hidden="false" customHeight="true" outlineLevel="0" collapsed="false">
      <c r="B186" s="7" t="n">
        <v>13</v>
      </c>
      <c r="C186" s="9" t="str">
        <f aca="false">Quarters!$E$16</f>
        <v>Q1 2025</v>
      </c>
      <c r="D186" s="7" t="s">
        <v>103</v>
      </c>
      <c r="E186" s="7" t="s">
        <v>104</v>
      </c>
      <c r="F186" s="25" t="n">
        <f aca="false">'Capital Call Schedule'!$D$16*'LP Register'!$F$6</f>
        <v>0</v>
      </c>
      <c r="G186" s="25" t="n">
        <f aca="false">'Capital Call Schedule'!$E$16*'LP Register'!$F$6</f>
        <v>25025</v>
      </c>
      <c r="H186" s="22" t="n">
        <f aca="false">F186+G186</f>
        <v>25025</v>
      </c>
    </row>
    <row r="187" customFormat="false" ht="15" hidden="false" customHeight="true" outlineLevel="0" collapsed="false">
      <c r="B187" s="7" t="n">
        <v>13</v>
      </c>
      <c r="C187" s="9" t="str">
        <f aca="false">Quarters!$E$16</f>
        <v>Q1 2025</v>
      </c>
      <c r="D187" s="7" t="s">
        <v>106</v>
      </c>
      <c r="E187" s="7" t="s">
        <v>107</v>
      </c>
      <c r="F187" s="25" t="n">
        <f aca="false">'Capital Call Schedule'!$D$16*'LP Register'!$F$7</f>
        <v>0</v>
      </c>
      <c r="G187" s="25" t="n">
        <f aca="false">'Capital Call Schedule'!$E$16*'LP Register'!$F$7</f>
        <v>22750</v>
      </c>
      <c r="H187" s="22" t="n">
        <f aca="false">F187+G187</f>
        <v>22750</v>
      </c>
    </row>
    <row r="188" customFormat="false" ht="15" hidden="false" customHeight="true" outlineLevel="0" collapsed="false">
      <c r="B188" s="7" t="n">
        <v>13</v>
      </c>
      <c r="C188" s="9" t="str">
        <f aca="false">Quarters!$E$16</f>
        <v>Q1 2025</v>
      </c>
      <c r="D188" s="7" t="s">
        <v>109</v>
      </c>
      <c r="E188" s="7" t="s">
        <v>110</v>
      </c>
      <c r="F188" s="25" t="n">
        <f aca="false">'Capital Call Schedule'!$D$16*'LP Register'!$F$8</f>
        <v>0</v>
      </c>
      <c r="G188" s="25" t="n">
        <f aca="false">'Capital Call Schedule'!$E$16*'LP Register'!$F$8</f>
        <v>18200</v>
      </c>
      <c r="H188" s="22" t="n">
        <f aca="false">F188+G188</f>
        <v>18200</v>
      </c>
    </row>
    <row r="189" customFormat="false" ht="15" hidden="false" customHeight="true" outlineLevel="0" collapsed="false">
      <c r="B189" s="7" t="n">
        <v>13</v>
      </c>
      <c r="C189" s="9" t="str">
        <f aca="false">Quarters!$E$16</f>
        <v>Q1 2025</v>
      </c>
      <c r="D189" s="7" t="s">
        <v>112</v>
      </c>
      <c r="E189" s="7" t="s">
        <v>113</v>
      </c>
      <c r="F189" s="25" t="n">
        <f aca="false">'Capital Call Schedule'!$D$16*'LP Register'!$F$9</f>
        <v>0</v>
      </c>
      <c r="G189" s="25" t="n">
        <f aca="false">'Capital Call Schedule'!$E$16*'LP Register'!$F$9</f>
        <v>18200</v>
      </c>
      <c r="H189" s="22" t="n">
        <f aca="false">F189+G189</f>
        <v>18200</v>
      </c>
    </row>
    <row r="190" customFormat="false" ht="15" hidden="false" customHeight="true" outlineLevel="0" collapsed="false">
      <c r="B190" s="7" t="n">
        <v>13</v>
      </c>
      <c r="C190" s="9" t="str">
        <f aca="false">Quarters!$E$16</f>
        <v>Q1 2025</v>
      </c>
      <c r="D190" s="7" t="s">
        <v>115</v>
      </c>
      <c r="E190" s="7" t="s">
        <v>116</v>
      </c>
      <c r="F190" s="25" t="n">
        <f aca="false">'Capital Call Schedule'!$D$16*'LP Register'!$F$10</f>
        <v>0</v>
      </c>
      <c r="G190" s="25" t="n">
        <f aca="false">'Capital Call Schedule'!$E$16*'LP Register'!$F$10</f>
        <v>13650</v>
      </c>
      <c r="H190" s="22" t="n">
        <f aca="false">F190+G190</f>
        <v>13650</v>
      </c>
    </row>
    <row r="191" customFormat="false" ht="15" hidden="false" customHeight="true" outlineLevel="0" collapsed="false">
      <c r="B191" s="7" t="n">
        <v>13</v>
      </c>
      <c r="C191" s="9" t="str">
        <f aca="false">Quarters!$E$16</f>
        <v>Q1 2025</v>
      </c>
      <c r="D191" s="7" t="s">
        <v>117</v>
      </c>
      <c r="E191" s="7" t="s">
        <v>118</v>
      </c>
      <c r="F191" s="25" t="n">
        <f aca="false">'Capital Call Schedule'!$D$16*'LP Register'!$F$11</f>
        <v>0</v>
      </c>
      <c r="G191" s="25" t="n">
        <f aca="false">'Capital Call Schedule'!$E$16*'LP Register'!$F$11</f>
        <v>11375</v>
      </c>
      <c r="H191" s="22" t="n">
        <f aca="false">F191+G191</f>
        <v>11375</v>
      </c>
    </row>
    <row r="192" customFormat="false" ht="15" hidden="false" customHeight="true" outlineLevel="0" collapsed="false">
      <c r="B192" s="7" t="n">
        <v>13</v>
      </c>
      <c r="C192" s="9" t="str">
        <f aca="false">Quarters!$E$16</f>
        <v>Q1 2025</v>
      </c>
      <c r="D192" s="7" t="s">
        <v>119</v>
      </c>
      <c r="E192" s="7" t="s">
        <v>120</v>
      </c>
      <c r="F192" s="25" t="n">
        <f aca="false">'Capital Call Schedule'!$D$16*'LP Register'!$F$12</f>
        <v>0</v>
      </c>
      <c r="G192" s="25" t="n">
        <f aca="false">'Capital Call Schedule'!$E$16*'LP Register'!$F$12</f>
        <v>9100</v>
      </c>
      <c r="H192" s="22" t="n">
        <f aca="false">F192+G192</f>
        <v>9100</v>
      </c>
    </row>
    <row r="193" customFormat="false" ht="15" hidden="false" customHeight="true" outlineLevel="0" collapsed="false">
      <c r="B193" s="7" t="n">
        <v>13</v>
      </c>
      <c r="C193" s="9" t="str">
        <f aca="false">Quarters!$E$16</f>
        <v>Q1 2025</v>
      </c>
      <c r="D193" s="7" t="s">
        <v>121</v>
      </c>
      <c r="E193" s="7" t="s">
        <v>122</v>
      </c>
      <c r="F193" s="25" t="n">
        <f aca="false">'Capital Call Schedule'!$D$16*'LP Register'!$F$13</f>
        <v>0</v>
      </c>
      <c r="G193" s="25" t="n">
        <f aca="false">'Capital Call Schedule'!$E$16*'LP Register'!$F$13</f>
        <v>9100</v>
      </c>
      <c r="H193" s="22" t="n">
        <f aca="false">F193+G193</f>
        <v>9100</v>
      </c>
    </row>
    <row r="194" customFormat="false" ht="15" hidden="false" customHeight="true" outlineLevel="0" collapsed="false">
      <c r="B194" s="7" t="n">
        <v>13</v>
      </c>
      <c r="C194" s="9" t="str">
        <f aca="false">Quarters!$E$16</f>
        <v>Q1 2025</v>
      </c>
      <c r="D194" s="7" t="s">
        <v>124</v>
      </c>
      <c r="E194" s="7" t="s">
        <v>125</v>
      </c>
      <c r="F194" s="25" t="n">
        <f aca="false">'Capital Call Schedule'!$D$16*'LP Register'!$F$14</f>
        <v>0</v>
      </c>
      <c r="G194" s="25" t="n">
        <f aca="false">'Capital Call Schedule'!$E$16*'LP Register'!$F$14</f>
        <v>8190</v>
      </c>
      <c r="H194" s="22" t="n">
        <f aca="false">F194+G194</f>
        <v>8190</v>
      </c>
    </row>
    <row r="195" customFormat="false" ht="15" hidden="false" customHeight="true" outlineLevel="0" collapsed="false">
      <c r="B195" s="7" t="n">
        <v>13</v>
      </c>
      <c r="C195" s="9" t="str">
        <f aca="false">Quarters!$E$16</f>
        <v>Q1 2025</v>
      </c>
      <c r="D195" s="7" t="s">
        <v>126</v>
      </c>
      <c r="E195" s="7" t="s">
        <v>127</v>
      </c>
      <c r="F195" s="25" t="n">
        <f aca="false">'Capital Call Schedule'!$D$16*'LP Register'!$F$15</f>
        <v>0</v>
      </c>
      <c r="G195" s="25" t="n">
        <f aca="false">'Capital Call Schedule'!$E$16*'LP Register'!$F$15</f>
        <v>6825</v>
      </c>
      <c r="H195" s="22" t="n">
        <f aca="false">F195+G195</f>
        <v>6825</v>
      </c>
    </row>
    <row r="196" customFormat="false" ht="15" hidden="false" customHeight="true" outlineLevel="0" collapsed="false">
      <c r="B196" s="7" t="n">
        <v>13</v>
      </c>
      <c r="C196" s="9" t="str">
        <f aca="false">Quarters!$E$16</f>
        <v>Q1 2025</v>
      </c>
      <c r="D196" s="7" t="s">
        <v>128</v>
      </c>
      <c r="E196" s="7" t="s">
        <v>129</v>
      </c>
      <c r="F196" s="25" t="n">
        <f aca="false">'Capital Call Schedule'!$D$16*'LP Register'!$F$16</f>
        <v>0</v>
      </c>
      <c r="G196" s="25" t="n">
        <f aca="false">'Capital Call Schedule'!$E$16*'LP Register'!$F$16</f>
        <v>6825</v>
      </c>
      <c r="H196" s="22" t="n">
        <f aca="false">F196+G196</f>
        <v>6825</v>
      </c>
    </row>
    <row r="197" customFormat="false" ht="15" hidden="false" customHeight="true" outlineLevel="0" collapsed="false">
      <c r="B197" s="7" t="n">
        <v>13</v>
      </c>
      <c r="C197" s="9" t="str">
        <f aca="false">Quarters!$E$16</f>
        <v>Q1 2025</v>
      </c>
      <c r="D197" s="7" t="s">
        <v>130</v>
      </c>
      <c r="E197" s="7" t="s">
        <v>131</v>
      </c>
      <c r="F197" s="25" t="n">
        <f aca="false">'Capital Call Schedule'!$D$16*'LP Register'!$F$17</f>
        <v>0</v>
      </c>
      <c r="G197" s="25" t="n">
        <f aca="false">'Capital Call Schedule'!$E$16*'LP Register'!$F$17</f>
        <v>7280</v>
      </c>
      <c r="H197" s="22" t="n">
        <f aca="false">F197+G197</f>
        <v>7280</v>
      </c>
    </row>
    <row r="198" customFormat="false" ht="15" hidden="false" customHeight="true" outlineLevel="0" collapsed="false">
      <c r="B198" s="7" t="n">
        <v>13</v>
      </c>
      <c r="C198" s="9" t="str">
        <f aca="false">Quarters!$E$16</f>
        <v>Q1 2025</v>
      </c>
      <c r="D198" s="7" t="s">
        <v>132</v>
      </c>
      <c r="E198" s="7" t="s">
        <v>133</v>
      </c>
      <c r="F198" s="25" t="n">
        <f aca="false">'Capital Call Schedule'!$D$16*'LP Register'!$F$18</f>
        <v>0</v>
      </c>
      <c r="G198" s="25" t="n">
        <f aca="false">'Capital Call Schedule'!$E$16*'LP Register'!$F$18</f>
        <v>7280</v>
      </c>
      <c r="H198" s="22" t="n">
        <f aca="false">F198+G198</f>
        <v>7280</v>
      </c>
    </row>
    <row r="199" customFormat="false" ht="15" hidden="false" customHeight="true" outlineLevel="0" collapsed="false">
      <c r="B199" s="7" t="n">
        <v>14</v>
      </c>
      <c r="C199" s="9" t="str">
        <f aca="false">Quarters!$E$17</f>
        <v>Q2 2025</v>
      </c>
      <c r="D199" s="7" t="s">
        <v>97</v>
      </c>
      <c r="E199" s="7" t="s">
        <v>98</v>
      </c>
      <c r="F199" s="25" t="n">
        <f aca="false">'Capital Call Schedule'!$D$17*'LP Register'!$F$4</f>
        <v>0</v>
      </c>
      <c r="G199" s="25" t="n">
        <f aca="false">'Capital Call Schedule'!$E$17*'LP Register'!$F$4</f>
        <v>36400</v>
      </c>
      <c r="H199" s="22" t="n">
        <f aca="false">F199+G199</f>
        <v>36400</v>
      </c>
    </row>
    <row r="200" customFormat="false" ht="15" hidden="false" customHeight="true" outlineLevel="0" collapsed="false">
      <c r="B200" s="7" t="n">
        <v>14</v>
      </c>
      <c r="C200" s="9" t="str">
        <f aca="false">Quarters!$E$17</f>
        <v>Q2 2025</v>
      </c>
      <c r="D200" s="7" t="s">
        <v>100</v>
      </c>
      <c r="E200" s="7" t="s">
        <v>101</v>
      </c>
      <c r="F200" s="25" t="n">
        <f aca="false">'Capital Call Schedule'!$D$17*'LP Register'!$F$5</f>
        <v>0</v>
      </c>
      <c r="G200" s="25" t="n">
        <f aca="false">'Capital Call Schedule'!$E$17*'LP Register'!$F$5</f>
        <v>27300</v>
      </c>
      <c r="H200" s="22" t="n">
        <f aca="false">F200+G200</f>
        <v>27300</v>
      </c>
    </row>
    <row r="201" customFormat="false" ht="15" hidden="false" customHeight="true" outlineLevel="0" collapsed="false">
      <c r="B201" s="7" t="n">
        <v>14</v>
      </c>
      <c r="C201" s="9" t="str">
        <f aca="false">Quarters!$E$17</f>
        <v>Q2 2025</v>
      </c>
      <c r="D201" s="7" t="s">
        <v>103</v>
      </c>
      <c r="E201" s="7" t="s">
        <v>104</v>
      </c>
      <c r="F201" s="25" t="n">
        <f aca="false">'Capital Call Schedule'!$D$17*'LP Register'!$F$6</f>
        <v>0</v>
      </c>
      <c r="G201" s="25" t="n">
        <f aca="false">'Capital Call Schedule'!$E$17*'LP Register'!$F$6</f>
        <v>25025</v>
      </c>
      <c r="H201" s="22" t="n">
        <f aca="false">F201+G201</f>
        <v>25025</v>
      </c>
    </row>
    <row r="202" customFormat="false" ht="15" hidden="false" customHeight="true" outlineLevel="0" collapsed="false">
      <c r="B202" s="7" t="n">
        <v>14</v>
      </c>
      <c r="C202" s="9" t="str">
        <f aca="false">Quarters!$E$17</f>
        <v>Q2 2025</v>
      </c>
      <c r="D202" s="7" t="s">
        <v>106</v>
      </c>
      <c r="E202" s="7" t="s">
        <v>107</v>
      </c>
      <c r="F202" s="25" t="n">
        <f aca="false">'Capital Call Schedule'!$D$17*'LP Register'!$F$7</f>
        <v>0</v>
      </c>
      <c r="G202" s="25" t="n">
        <f aca="false">'Capital Call Schedule'!$E$17*'LP Register'!$F$7</f>
        <v>22750</v>
      </c>
      <c r="H202" s="22" t="n">
        <f aca="false">F202+G202</f>
        <v>22750</v>
      </c>
    </row>
    <row r="203" customFormat="false" ht="15" hidden="false" customHeight="true" outlineLevel="0" collapsed="false">
      <c r="B203" s="7" t="n">
        <v>14</v>
      </c>
      <c r="C203" s="9" t="str">
        <f aca="false">Quarters!$E$17</f>
        <v>Q2 2025</v>
      </c>
      <c r="D203" s="7" t="s">
        <v>109</v>
      </c>
      <c r="E203" s="7" t="s">
        <v>110</v>
      </c>
      <c r="F203" s="25" t="n">
        <f aca="false">'Capital Call Schedule'!$D$17*'LP Register'!$F$8</f>
        <v>0</v>
      </c>
      <c r="G203" s="25" t="n">
        <f aca="false">'Capital Call Schedule'!$E$17*'LP Register'!$F$8</f>
        <v>18200</v>
      </c>
      <c r="H203" s="22" t="n">
        <f aca="false">F203+G203</f>
        <v>18200</v>
      </c>
    </row>
    <row r="204" customFormat="false" ht="15" hidden="false" customHeight="true" outlineLevel="0" collapsed="false">
      <c r="B204" s="7" t="n">
        <v>14</v>
      </c>
      <c r="C204" s="9" t="str">
        <f aca="false">Quarters!$E$17</f>
        <v>Q2 2025</v>
      </c>
      <c r="D204" s="7" t="s">
        <v>112</v>
      </c>
      <c r="E204" s="7" t="s">
        <v>113</v>
      </c>
      <c r="F204" s="25" t="n">
        <f aca="false">'Capital Call Schedule'!$D$17*'LP Register'!$F$9</f>
        <v>0</v>
      </c>
      <c r="G204" s="25" t="n">
        <f aca="false">'Capital Call Schedule'!$E$17*'LP Register'!$F$9</f>
        <v>18200</v>
      </c>
      <c r="H204" s="22" t="n">
        <f aca="false">F204+G204</f>
        <v>18200</v>
      </c>
    </row>
    <row r="205" customFormat="false" ht="15" hidden="false" customHeight="true" outlineLevel="0" collapsed="false">
      <c r="B205" s="7" t="n">
        <v>14</v>
      </c>
      <c r="C205" s="9" t="str">
        <f aca="false">Quarters!$E$17</f>
        <v>Q2 2025</v>
      </c>
      <c r="D205" s="7" t="s">
        <v>115</v>
      </c>
      <c r="E205" s="7" t="s">
        <v>116</v>
      </c>
      <c r="F205" s="25" t="n">
        <f aca="false">'Capital Call Schedule'!$D$17*'LP Register'!$F$10</f>
        <v>0</v>
      </c>
      <c r="G205" s="25" t="n">
        <f aca="false">'Capital Call Schedule'!$E$17*'LP Register'!$F$10</f>
        <v>13650</v>
      </c>
      <c r="H205" s="22" t="n">
        <f aca="false">F205+G205</f>
        <v>13650</v>
      </c>
    </row>
    <row r="206" customFormat="false" ht="15" hidden="false" customHeight="true" outlineLevel="0" collapsed="false">
      <c r="B206" s="7" t="n">
        <v>14</v>
      </c>
      <c r="C206" s="9" t="str">
        <f aca="false">Quarters!$E$17</f>
        <v>Q2 2025</v>
      </c>
      <c r="D206" s="7" t="s">
        <v>117</v>
      </c>
      <c r="E206" s="7" t="s">
        <v>118</v>
      </c>
      <c r="F206" s="25" t="n">
        <f aca="false">'Capital Call Schedule'!$D$17*'LP Register'!$F$11</f>
        <v>0</v>
      </c>
      <c r="G206" s="25" t="n">
        <f aca="false">'Capital Call Schedule'!$E$17*'LP Register'!$F$11</f>
        <v>11375</v>
      </c>
      <c r="H206" s="22" t="n">
        <f aca="false">F206+G206</f>
        <v>11375</v>
      </c>
    </row>
    <row r="207" customFormat="false" ht="15" hidden="false" customHeight="true" outlineLevel="0" collapsed="false">
      <c r="B207" s="7" t="n">
        <v>14</v>
      </c>
      <c r="C207" s="9" t="str">
        <f aca="false">Quarters!$E$17</f>
        <v>Q2 2025</v>
      </c>
      <c r="D207" s="7" t="s">
        <v>119</v>
      </c>
      <c r="E207" s="7" t="s">
        <v>120</v>
      </c>
      <c r="F207" s="25" t="n">
        <f aca="false">'Capital Call Schedule'!$D$17*'LP Register'!$F$12</f>
        <v>0</v>
      </c>
      <c r="G207" s="25" t="n">
        <f aca="false">'Capital Call Schedule'!$E$17*'LP Register'!$F$12</f>
        <v>9100</v>
      </c>
      <c r="H207" s="22" t="n">
        <f aca="false">F207+G207</f>
        <v>9100</v>
      </c>
    </row>
    <row r="208" customFormat="false" ht="15" hidden="false" customHeight="true" outlineLevel="0" collapsed="false">
      <c r="B208" s="7" t="n">
        <v>14</v>
      </c>
      <c r="C208" s="9" t="str">
        <f aca="false">Quarters!$E$17</f>
        <v>Q2 2025</v>
      </c>
      <c r="D208" s="7" t="s">
        <v>121</v>
      </c>
      <c r="E208" s="7" t="s">
        <v>122</v>
      </c>
      <c r="F208" s="25" t="n">
        <f aca="false">'Capital Call Schedule'!$D$17*'LP Register'!$F$13</f>
        <v>0</v>
      </c>
      <c r="G208" s="25" t="n">
        <f aca="false">'Capital Call Schedule'!$E$17*'LP Register'!$F$13</f>
        <v>9100</v>
      </c>
      <c r="H208" s="22" t="n">
        <f aca="false">F208+G208</f>
        <v>9100</v>
      </c>
    </row>
    <row r="209" customFormat="false" ht="15" hidden="false" customHeight="true" outlineLevel="0" collapsed="false">
      <c r="B209" s="7" t="n">
        <v>14</v>
      </c>
      <c r="C209" s="9" t="str">
        <f aca="false">Quarters!$E$17</f>
        <v>Q2 2025</v>
      </c>
      <c r="D209" s="7" t="s">
        <v>124</v>
      </c>
      <c r="E209" s="7" t="s">
        <v>125</v>
      </c>
      <c r="F209" s="25" t="n">
        <f aca="false">'Capital Call Schedule'!$D$17*'LP Register'!$F$14</f>
        <v>0</v>
      </c>
      <c r="G209" s="25" t="n">
        <f aca="false">'Capital Call Schedule'!$E$17*'LP Register'!$F$14</f>
        <v>8190</v>
      </c>
      <c r="H209" s="22" t="n">
        <f aca="false">F209+G209</f>
        <v>8190</v>
      </c>
    </row>
    <row r="210" customFormat="false" ht="15" hidden="false" customHeight="true" outlineLevel="0" collapsed="false">
      <c r="B210" s="7" t="n">
        <v>14</v>
      </c>
      <c r="C210" s="9" t="str">
        <f aca="false">Quarters!$E$17</f>
        <v>Q2 2025</v>
      </c>
      <c r="D210" s="7" t="s">
        <v>126</v>
      </c>
      <c r="E210" s="7" t="s">
        <v>127</v>
      </c>
      <c r="F210" s="25" t="n">
        <f aca="false">'Capital Call Schedule'!$D$17*'LP Register'!$F$15</f>
        <v>0</v>
      </c>
      <c r="G210" s="25" t="n">
        <f aca="false">'Capital Call Schedule'!$E$17*'LP Register'!$F$15</f>
        <v>6825</v>
      </c>
      <c r="H210" s="22" t="n">
        <f aca="false">F210+G210</f>
        <v>6825</v>
      </c>
    </row>
    <row r="211" customFormat="false" ht="15" hidden="false" customHeight="true" outlineLevel="0" collapsed="false">
      <c r="B211" s="7" t="n">
        <v>14</v>
      </c>
      <c r="C211" s="9" t="str">
        <f aca="false">Quarters!$E$17</f>
        <v>Q2 2025</v>
      </c>
      <c r="D211" s="7" t="s">
        <v>128</v>
      </c>
      <c r="E211" s="7" t="s">
        <v>129</v>
      </c>
      <c r="F211" s="25" t="n">
        <f aca="false">'Capital Call Schedule'!$D$17*'LP Register'!$F$16</f>
        <v>0</v>
      </c>
      <c r="G211" s="25" t="n">
        <f aca="false">'Capital Call Schedule'!$E$17*'LP Register'!$F$16</f>
        <v>6825</v>
      </c>
      <c r="H211" s="22" t="n">
        <f aca="false">F211+G211</f>
        <v>6825</v>
      </c>
    </row>
    <row r="212" customFormat="false" ht="15" hidden="false" customHeight="true" outlineLevel="0" collapsed="false">
      <c r="B212" s="7" t="n">
        <v>14</v>
      </c>
      <c r="C212" s="9" t="str">
        <f aca="false">Quarters!$E$17</f>
        <v>Q2 2025</v>
      </c>
      <c r="D212" s="7" t="s">
        <v>130</v>
      </c>
      <c r="E212" s="7" t="s">
        <v>131</v>
      </c>
      <c r="F212" s="25" t="n">
        <f aca="false">'Capital Call Schedule'!$D$17*'LP Register'!$F$17</f>
        <v>0</v>
      </c>
      <c r="G212" s="25" t="n">
        <f aca="false">'Capital Call Schedule'!$E$17*'LP Register'!$F$17</f>
        <v>7280</v>
      </c>
      <c r="H212" s="22" t="n">
        <f aca="false">F212+G212</f>
        <v>7280</v>
      </c>
    </row>
    <row r="213" customFormat="false" ht="15" hidden="false" customHeight="true" outlineLevel="0" collapsed="false">
      <c r="B213" s="7" t="n">
        <v>14</v>
      </c>
      <c r="C213" s="9" t="str">
        <f aca="false">Quarters!$E$17</f>
        <v>Q2 2025</v>
      </c>
      <c r="D213" s="7" t="s">
        <v>132</v>
      </c>
      <c r="E213" s="7" t="s">
        <v>133</v>
      </c>
      <c r="F213" s="25" t="n">
        <f aca="false">'Capital Call Schedule'!$D$17*'LP Register'!$F$18</f>
        <v>0</v>
      </c>
      <c r="G213" s="25" t="n">
        <f aca="false">'Capital Call Schedule'!$E$17*'LP Register'!$F$18</f>
        <v>7280</v>
      </c>
      <c r="H213" s="22" t="n">
        <f aca="false">F213+G213</f>
        <v>7280</v>
      </c>
    </row>
    <row r="214" customFormat="false" ht="15" hidden="false" customHeight="true" outlineLevel="0" collapsed="false">
      <c r="B214" s="7" t="n">
        <v>15</v>
      </c>
      <c r="C214" s="9" t="str">
        <f aca="false">Quarters!$E$18</f>
        <v>Q3 2025</v>
      </c>
      <c r="D214" s="7" t="s">
        <v>97</v>
      </c>
      <c r="E214" s="7" t="s">
        <v>98</v>
      </c>
      <c r="F214" s="25" t="n">
        <f aca="false">'Capital Call Schedule'!$D$18*'LP Register'!$F$4</f>
        <v>0</v>
      </c>
      <c r="G214" s="25" t="n">
        <f aca="false">'Capital Call Schedule'!$E$18*'LP Register'!$F$4</f>
        <v>31600</v>
      </c>
      <c r="H214" s="22" t="n">
        <f aca="false">F214+G214</f>
        <v>31600</v>
      </c>
    </row>
    <row r="215" customFormat="false" ht="15" hidden="false" customHeight="true" outlineLevel="0" collapsed="false">
      <c r="B215" s="7" t="n">
        <v>15</v>
      </c>
      <c r="C215" s="9" t="str">
        <f aca="false">Quarters!$E$18</f>
        <v>Q3 2025</v>
      </c>
      <c r="D215" s="7" t="s">
        <v>100</v>
      </c>
      <c r="E215" s="7" t="s">
        <v>101</v>
      </c>
      <c r="F215" s="25" t="n">
        <f aca="false">'Capital Call Schedule'!$D$18*'LP Register'!$F$5</f>
        <v>0</v>
      </c>
      <c r="G215" s="25" t="n">
        <f aca="false">'Capital Call Schedule'!$E$18*'LP Register'!$F$5</f>
        <v>23700</v>
      </c>
      <c r="H215" s="22" t="n">
        <f aca="false">F215+G215</f>
        <v>23700</v>
      </c>
    </row>
    <row r="216" customFormat="false" ht="15" hidden="false" customHeight="true" outlineLevel="0" collapsed="false">
      <c r="B216" s="7" t="n">
        <v>15</v>
      </c>
      <c r="C216" s="9" t="str">
        <f aca="false">Quarters!$E$18</f>
        <v>Q3 2025</v>
      </c>
      <c r="D216" s="7" t="s">
        <v>103</v>
      </c>
      <c r="E216" s="7" t="s">
        <v>104</v>
      </c>
      <c r="F216" s="25" t="n">
        <f aca="false">'Capital Call Schedule'!$D$18*'LP Register'!$F$6</f>
        <v>0</v>
      </c>
      <c r="G216" s="25" t="n">
        <f aca="false">'Capital Call Schedule'!$E$18*'LP Register'!$F$6</f>
        <v>21725</v>
      </c>
      <c r="H216" s="22" t="n">
        <f aca="false">F216+G216</f>
        <v>21725</v>
      </c>
    </row>
    <row r="217" customFormat="false" ht="15" hidden="false" customHeight="true" outlineLevel="0" collapsed="false">
      <c r="B217" s="7" t="n">
        <v>15</v>
      </c>
      <c r="C217" s="9" t="str">
        <f aca="false">Quarters!$E$18</f>
        <v>Q3 2025</v>
      </c>
      <c r="D217" s="7" t="s">
        <v>106</v>
      </c>
      <c r="E217" s="7" t="s">
        <v>107</v>
      </c>
      <c r="F217" s="25" t="n">
        <f aca="false">'Capital Call Schedule'!$D$18*'LP Register'!$F$7</f>
        <v>0</v>
      </c>
      <c r="G217" s="25" t="n">
        <f aca="false">'Capital Call Schedule'!$E$18*'LP Register'!$F$7</f>
        <v>19750</v>
      </c>
      <c r="H217" s="22" t="n">
        <f aca="false">F217+G217</f>
        <v>19750</v>
      </c>
    </row>
    <row r="218" customFormat="false" ht="15" hidden="false" customHeight="true" outlineLevel="0" collapsed="false">
      <c r="B218" s="7" t="n">
        <v>15</v>
      </c>
      <c r="C218" s="9" t="str">
        <f aca="false">Quarters!$E$18</f>
        <v>Q3 2025</v>
      </c>
      <c r="D218" s="7" t="s">
        <v>109</v>
      </c>
      <c r="E218" s="7" t="s">
        <v>110</v>
      </c>
      <c r="F218" s="25" t="n">
        <f aca="false">'Capital Call Schedule'!$D$18*'LP Register'!$F$8</f>
        <v>0</v>
      </c>
      <c r="G218" s="25" t="n">
        <f aca="false">'Capital Call Schedule'!$E$18*'LP Register'!$F$8</f>
        <v>15800</v>
      </c>
      <c r="H218" s="22" t="n">
        <f aca="false">F218+G218</f>
        <v>15800</v>
      </c>
    </row>
    <row r="219" customFormat="false" ht="15" hidden="false" customHeight="true" outlineLevel="0" collapsed="false">
      <c r="B219" s="7" t="n">
        <v>15</v>
      </c>
      <c r="C219" s="9" t="str">
        <f aca="false">Quarters!$E$18</f>
        <v>Q3 2025</v>
      </c>
      <c r="D219" s="7" t="s">
        <v>112</v>
      </c>
      <c r="E219" s="7" t="s">
        <v>113</v>
      </c>
      <c r="F219" s="25" t="n">
        <f aca="false">'Capital Call Schedule'!$D$18*'LP Register'!$F$9</f>
        <v>0</v>
      </c>
      <c r="G219" s="25" t="n">
        <f aca="false">'Capital Call Schedule'!$E$18*'LP Register'!$F$9</f>
        <v>15800</v>
      </c>
      <c r="H219" s="22" t="n">
        <f aca="false">F219+G219</f>
        <v>15800</v>
      </c>
    </row>
    <row r="220" customFormat="false" ht="15" hidden="false" customHeight="true" outlineLevel="0" collapsed="false">
      <c r="B220" s="7" t="n">
        <v>15</v>
      </c>
      <c r="C220" s="9" t="str">
        <f aca="false">Quarters!$E$18</f>
        <v>Q3 2025</v>
      </c>
      <c r="D220" s="7" t="s">
        <v>115</v>
      </c>
      <c r="E220" s="7" t="s">
        <v>116</v>
      </c>
      <c r="F220" s="25" t="n">
        <f aca="false">'Capital Call Schedule'!$D$18*'LP Register'!$F$10</f>
        <v>0</v>
      </c>
      <c r="G220" s="25" t="n">
        <f aca="false">'Capital Call Schedule'!$E$18*'LP Register'!$F$10</f>
        <v>11850</v>
      </c>
      <c r="H220" s="22" t="n">
        <f aca="false">F220+G220</f>
        <v>11850</v>
      </c>
    </row>
    <row r="221" customFormat="false" ht="15" hidden="false" customHeight="true" outlineLevel="0" collapsed="false">
      <c r="B221" s="7" t="n">
        <v>15</v>
      </c>
      <c r="C221" s="9" t="str">
        <f aca="false">Quarters!$E$18</f>
        <v>Q3 2025</v>
      </c>
      <c r="D221" s="7" t="s">
        <v>117</v>
      </c>
      <c r="E221" s="7" t="s">
        <v>118</v>
      </c>
      <c r="F221" s="25" t="n">
        <f aca="false">'Capital Call Schedule'!$D$18*'LP Register'!$F$11</f>
        <v>0</v>
      </c>
      <c r="G221" s="25" t="n">
        <f aca="false">'Capital Call Schedule'!$E$18*'LP Register'!$F$11</f>
        <v>9875</v>
      </c>
      <c r="H221" s="22" t="n">
        <f aca="false">F221+G221</f>
        <v>9875</v>
      </c>
    </row>
    <row r="222" customFormat="false" ht="15" hidden="false" customHeight="true" outlineLevel="0" collapsed="false">
      <c r="B222" s="7" t="n">
        <v>15</v>
      </c>
      <c r="C222" s="9" t="str">
        <f aca="false">Quarters!$E$18</f>
        <v>Q3 2025</v>
      </c>
      <c r="D222" s="7" t="s">
        <v>119</v>
      </c>
      <c r="E222" s="7" t="s">
        <v>120</v>
      </c>
      <c r="F222" s="25" t="n">
        <f aca="false">'Capital Call Schedule'!$D$18*'LP Register'!$F$12</f>
        <v>0</v>
      </c>
      <c r="G222" s="25" t="n">
        <f aca="false">'Capital Call Schedule'!$E$18*'LP Register'!$F$12</f>
        <v>7900</v>
      </c>
      <c r="H222" s="22" t="n">
        <f aca="false">F222+G222</f>
        <v>7900</v>
      </c>
    </row>
    <row r="223" customFormat="false" ht="15" hidden="false" customHeight="true" outlineLevel="0" collapsed="false">
      <c r="B223" s="7" t="n">
        <v>15</v>
      </c>
      <c r="C223" s="9" t="str">
        <f aca="false">Quarters!$E$18</f>
        <v>Q3 2025</v>
      </c>
      <c r="D223" s="7" t="s">
        <v>121</v>
      </c>
      <c r="E223" s="7" t="s">
        <v>122</v>
      </c>
      <c r="F223" s="25" t="n">
        <f aca="false">'Capital Call Schedule'!$D$18*'LP Register'!$F$13</f>
        <v>0</v>
      </c>
      <c r="G223" s="25" t="n">
        <f aca="false">'Capital Call Schedule'!$E$18*'LP Register'!$F$13</f>
        <v>7900</v>
      </c>
      <c r="H223" s="22" t="n">
        <f aca="false">F223+G223</f>
        <v>7900</v>
      </c>
    </row>
    <row r="224" customFormat="false" ht="15" hidden="false" customHeight="true" outlineLevel="0" collapsed="false">
      <c r="B224" s="7" t="n">
        <v>15</v>
      </c>
      <c r="C224" s="9" t="str">
        <f aca="false">Quarters!$E$18</f>
        <v>Q3 2025</v>
      </c>
      <c r="D224" s="7" t="s">
        <v>124</v>
      </c>
      <c r="E224" s="7" t="s">
        <v>125</v>
      </c>
      <c r="F224" s="25" t="n">
        <f aca="false">'Capital Call Schedule'!$D$18*'LP Register'!$F$14</f>
        <v>0</v>
      </c>
      <c r="G224" s="25" t="n">
        <f aca="false">'Capital Call Schedule'!$E$18*'LP Register'!$F$14</f>
        <v>7110</v>
      </c>
      <c r="H224" s="22" t="n">
        <f aca="false">F224+G224</f>
        <v>7110</v>
      </c>
    </row>
    <row r="225" customFormat="false" ht="15" hidden="false" customHeight="true" outlineLevel="0" collapsed="false">
      <c r="B225" s="7" t="n">
        <v>15</v>
      </c>
      <c r="C225" s="9" t="str">
        <f aca="false">Quarters!$E$18</f>
        <v>Q3 2025</v>
      </c>
      <c r="D225" s="7" t="s">
        <v>126</v>
      </c>
      <c r="E225" s="7" t="s">
        <v>127</v>
      </c>
      <c r="F225" s="25" t="n">
        <f aca="false">'Capital Call Schedule'!$D$18*'LP Register'!$F$15</f>
        <v>0</v>
      </c>
      <c r="G225" s="25" t="n">
        <f aca="false">'Capital Call Schedule'!$E$18*'LP Register'!$F$15</f>
        <v>5925</v>
      </c>
      <c r="H225" s="22" t="n">
        <f aca="false">F225+G225</f>
        <v>5925</v>
      </c>
    </row>
    <row r="226" customFormat="false" ht="15" hidden="false" customHeight="true" outlineLevel="0" collapsed="false">
      <c r="B226" s="7" t="n">
        <v>15</v>
      </c>
      <c r="C226" s="9" t="str">
        <f aca="false">Quarters!$E$18</f>
        <v>Q3 2025</v>
      </c>
      <c r="D226" s="7" t="s">
        <v>128</v>
      </c>
      <c r="E226" s="7" t="s">
        <v>129</v>
      </c>
      <c r="F226" s="25" t="n">
        <f aca="false">'Capital Call Schedule'!$D$18*'LP Register'!$F$16</f>
        <v>0</v>
      </c>
      <c r="G226" s="25" t="n">
        <f aca="false">'Capital Call Schedule'!$E$18*'LP Register'!$F$16</f>
        <v>5925</v>
      </c>
      <c r="H226" s="22" t="n">
        <f aca="false">F226+G226</f>
        <v>5925</v>
      </c>
    </row>
    <row r="227" customFormat="false" ht="15" hidden="false" customHeight="true" outlineLevel="0" collapsed="false">
      <c r="B227" s="7" t="n">
        <v>15</v>
      </c>
      <c r="C227" s="9" t="str">
        <f aca="false">Quarters!$E$18</f>
        <v>Q3 2025</v>
      </c>
      <c r="D227" s="7" t="s">
        <v>130</v>
      </c>
      <c r="E227" s="7" t="s">
        <v>131</v>
      </c>
      <c r="F227" s="25" t="n">
        <f aca="false">'Capital Call Schedule'!$D$18*'LP Register'!$F$17</f>
        <v>0</v>
      </c>
      <c r="G227" s="25" t="n">
        <f aca="false">'Capital Call Schedule'!$E$18*'LP Register'!$F$17</f>
        <v>6320</v>
      </c>
      <c r="H227" s="22" t="n">
        <f aca="false">F227+G227</f>
        <v>6320</v>
      </c>
    </row>
    <row r="228" customFormat="false" ht="15" hidden="false" customHeight="true" outlineLevel="0" collapsed="false">
      <c r="B228" s="7" t="n">
        <v>15</v>
      </c>
      <c r="C228" s="9" t="str">
        <f aca="false">Quarters!$E$18</f>
        <v>Q3 2025</v>
      </c>
      <c r="D228" s="7" t="s">
        <v>132</v>
      </c>
      <c r="E228" s="7" t="s">
        <v>133</v>
      </c>
      <c r="F228" s="25" t="n">
        <f aca="false">'Capital Call Schedule'!$D$18*'LP Register'!$F$18</f>
        <v>0</v>
      </c>
      <c r="G228" s="25" t="n">
        <f aca="false">'Capital Call Schedule'!$E$18*'LP Register'!$F$18</f>
        <v>6320</v>
      </c>
      <c r="H228" s="22" t="n">
        <f aca="false">F228+G228</f>
        <v>6320</v>
      </c>
    </row>
    <row r="229" customFormat="false" ht="15" hidden="false" customHeight="true" outlineLevel="0" collapsed="false">
      <c r="B229" s="7" t="n">
        <v>16</v>
      </c>
      <c r="C229" s="9" t="str">
        <f aca="false">Quarters!$E$19</f>
        <v>Q4 2025</v>
      </c>
      <c r="D229" s="7" t="s">
        <v>97</v>
      </c>
      <c r="E229" s="7" t="s">
        <v>98</v>
      </c>
      <c r="F229" s="25" t="n">
        <f aca="false">'Capital Call Schedule'!$D$19*'LP Register'!$F$4</f>
        <v>0</v>
      </c>
      <c r="G229" s="25" t="n">
        <f aca="false">'Capital Call Schedule'!$E$19*'LP Register'!$F$4</f>
        <v>31600</v>
      </c>
      <c r="H229" s="22" t="n">
        <f aca="false">F229+G229</f>
        <v>31600</v>
      </c>
    </row>
    <row r="230" customFormat="false" ht="15" hidden="false" customHeight="true" outlineLevel="0" collapsed="false">
      <c r="B230" s="7" t="n">
        <v>16</v>
      </c>
      <c r="C230" s="9" t="str">
        <f aca="false">Quarters!$E$19</f>
        <v>Q4 2025</v>
      </c>
      <c r="D230" s="7" t="s">
        <v>100</v>
      </c>
      <c r="E230" s="7" t="s">
        <v>101</v>
      </c>
      <c r="F230" s="25" t="n">
        <f aca="false">'Capital Call Schedule'!$D$19*'LP Register'!$F$5</f>
        <v>0</v>
      </c>
      <c r="G230" s="25" t="n">
        <f aca="false">'Capital Call Schedule'!$E$19*'LP Register'!$F$5</f>
        <v>23700</v>
      </c>
      <c r="H230" s="22" t="n">
        <f aca="false">F230+G230</f>
        <v>23700</v>
      </c>
    </row>
    <row r="231" customFormat="false" ht="15" hidden="false" customHeight="true" outlineLevel="0" collapsed="false">
      <c r="B231" s="7" t="n">
        <v>16</v>
      </c>
      <c r="C231" s="9" t="str">
        <f aca="false">Quarters!$E$19</f>
        <v>Q4 2025</v>
      </c>
      <c r="D231" s="7" t="s">
        <v>103</v>
      </c>
      <c r="E231" s="7" t="s">
        <v>104</v>
      </c>
      <c r="F231" s="25" t="n">
        <f aca="false">'Capital Call Schedule'!$D$19*'LP Register'!$F$6</f>
        <v>0</v>
      </c>
      <c r="G231" s="25" t="n">
        <f aca="false">'Capital Call Schedule'!$E$19*'LP Register'!$F$6</f>
        <v>21725</v>
      </c>
      <c r="H231" s="22" t="n">
        <f aca="false">F231+G231</f>
        <v>21725</v>
      </c>
    </row>
    <row r="232" customFormat="false" ht="15" hidden="false" customHeight="true" outlineLevel="0" collapsed="false">
      <c r="B232" s="7" t="n">
        <v>16</v>
      </c>
      <c r="C232" s="9" t="str">
        <f aca="false">Quarters!$E$19</f>
        <v>Q4 2025</v>
      </c>
      <c r="D232" s="7" t="s">
        <v>106</v>
      </c>
      <c r="E232" s="7" t="s">
        <v>107</v>
      </c>
      <c r="F232" s="25" t="n">
        <f aca="false">'Capital Call Schedule'!$D$19*'LP Register'!$F$7</f>
        <v>0</v>
      </c>
      <c r="G232" s="25" t="n">
        <f aca="false">'Capital Call Schedule'!$E$19*'LP Register'!$F$7</f>
        <v>19750</v>
      </c>
      <c r="H232" s="22" t="n">
        <f aca="false">F232+G232</f>
        <v>19750</v>
      </c>
    </row>
    <row r="233" customFormat="false" ht="15" hidden="false" customHeight="true" outlineLevel="0" collapsed="false">
      <c r="B233" s="7" t="n">
        <v>16</v>
      </c>
      <c r="C233" s="9" t="str">
        <f aca="false">Quarters!$E$19</f>
        <v>Q4 2025</v>
      </c>
      <c r="D233" s="7" t="s">
        <v>109</v>
      </c>
      <c r="E233" s="7" t="s">
        <v>110</v>
      </c>
      <c r="F233" s="25" t="n">
        <f aca="false">'Capital Call Schedule'!$D$19*'LP Register'!$F$8</f>
        <v>0</v>
      </c>
      <c r="G233" s="25" t="n">
        <f aca="false">'Capital Call Schedule'!$E$19*'LP Register'!$F$8</f>
        <v>15800</v>
      </c>
      <c r="H233" s="22" t="n">
        <f aca="false">F233+G233</f>
        <v>15800</v>
      </c>
    </row>
    <row r="234" customFormat="false" ht="15" hidden="false" customHeight="true" outlineLevel="0" collapsed="false">
      <c r="B234" s="7" t="n">
        <v>16</v>
      </c>
      <c r="C234" s="9" t="str">
        <f aca="false">Quarters!$E$19</f>
        <v>Q4 2025</v>
      </c>
      <c r="D234" s="7" t="s">
        <v>112</v>
      </c>
      <c r="E234" s="7" t="s">
        <v>113</v>
      </c>
      <c r="F234" s="25" t="n">
        <f aca="false">'Capital Call Schedule'!$D$19*'LP Register'!$F$9</f>
        <v>0</v>
      </c>
      <c r="G234" s="25" t="n">
        <f aca="false">'Capital Call Schedule'!$E$19*'LP Register'!$F$9</f>
        <v>15800</v>
      </c>
      <c r="H234" s="22" t="n">
        <f aca="false">F234+G234</f>
        <v>15800</v>
      </c>
    </row>
    <row r="235" customFormat="false" ht="15" hidden="false" customHeight="true" outlineLevel="0" collapsed="false">
      <c r="B235" s="7" t="n">
        <v>16</v>
      </c>
      <c r="C235" s="9" t="str">
        <f aca="false">Quarters!$E$19</f>
        <v>Q4 2025</v>
      </c>
      <c r="D235" s="7" t="s">
        <v>115</v>
      </c>
      <c r="E235" s="7" t="s">
        <v>116</v>
      </c>
      <c r="F235" s="25" t="n">
        <f aca="false">'Capital Call Schedule'!$D$19*'LP Register'!$F$10</f>
        <v>0</v>
      </c>
      <c r="G235" s="25" t="n">
        <f aca="false">'Capital Call Schedule'!$E$19*'LP Register'!$F$10</f>
        <v>11850</v>
      </c>
      <c r="H235" s="22" t="n">
        <f aca="false">F235+G235</f>
        <v>11850</v>
      </c>
    </row>
    <row r="236" customFormat="false" ht="15" hidden="false" customHeight="true" outlineLevel="0" collapsed="false">
      <c r="B236" s="7" t="n">
        <v>16</v>
      </c>
      <c r="C236" s="9" t="str">
        <f aca="false">Quarters!$E$19</f>
        <v>Q4 2025</v>
      </c>
      <c r="D236" s="7" t="s">
        <v>117</v>
      </c>
      <c r="E236" s="7" t="s">
        <v>118</v>
      </c>
      <c r="F236" s="25" t="n">
        <f aca="false">'Capital Call Schedule'!$D$19*'LP Register'!$F$11</f>
        <v>0</v>
      </c>
      <c r="G236" s="25" t="n">
        <f aca="false">'Capital Call Schedule'!$E$19*'LP Register'!$F$11</f>
        <v>9875</v>
      </c>
      <c r="H236" s="22" t="n">
        <f aca="false">F236+G236</f>
        <v>9875</v>
      </c>
    </row>
    <row r="237" customFormat="false" ht="15" hidden="false" customHeight="true" outlineLevel="0" collapsed="false">
      <c r="B237" s="7" t="n">
        <v>16</v>
      </c>
      <c r="C237" s="9" t="str">
        <f aca="false">Quarters!$E$19</f>
        <v>Q4 2025</v>
      </c>
      <c r="D237" s="7" t="s">
        <v>119</v>
      </c>
      <c r="E237" s="7" t="s">
        <v>120</v>
      </c>
      <c r="F237" s="25" t="n">
        <f aca="false">'Capital Call Schedule'!$D$19*'LP Register'!$F$12</f>
        <v>0</v>
      </c>
      <c r="G237" s="25" t="n">
        <f aca="false">'Capital Call Schedule'!$E$19*'LP Register'!$F$12</f>
        <v>7900</v>
      </c>
      <c r="H237" s="22" t="n">
        <f aca="false">F237+G237</f>
        <v>7900</v>
      </c>
    </row>
    <row r="238" customFormat="false" ht="15" hidden="false" customHeight="true" outlineLevel="0" collapsed="false">
      <c r="B238" s="7" t="n">
        <v>16</v>
      </c>
      <c r="C238" s="9" t="str">
        <f aca="false">Quarters!$E$19</f>
        <v>Q4 2025</v>
      </c>
      <c r="D238" s="7" t="s">
        <v>121</v>
      </c>
      <c r="E238" s="7" t="s">
        <v>122</v>
      </c>
      <c r="F238" s="25" t="n">
        <f aca="false">'Capital Call Schedule'!$D$19*'LP Register'!$F$13</f>
        <v>0</v>
      </c>
      <c r="G238" s="25" t="n">
        <f aca="false">'Capital Call Schedule'!$E$19*'LP Register'!$F$13</f>
        <v>7900</v>
      </c>
      <c r="H238" s="22" t="n">
        <f aca="false">F238+G238</f>
        <v>7900</v>
      </c>
    </row>
    <row r="239" customFormat="false" ht="15" hidden="false" customHeight="true" outlineLevel="0" collapsed="false">
      <c r="B239" s="7" t="n">
        <v>16</v>
      </c>
      <c r="C239" s="9" t="str">
        <f aca="false">Quarters!$E$19</f>
        <v>Q4 2025</v>
      </c>
      <c r="D239" s="7" t="s">
        <v>124</v>
      </c>
      <c r="E239" s="7" t="s">
        <v>125</v>
      </c>
      <c r="F239" s="25" t="n">
        <f aca="false">'Capital Call Schedule'!$D$19*'LP Register'!$F$14</f>
        <v>0</v>
      </c>
      <c r="G239" s="25" t="n">
        <f aca="false">'Capital Call Schedule'!$E$19*'LP Register'!$F$14</f>
        <v>7110</v>
      </c>
      <c r="H239" s="22" t="n">
        <f aca="false">F239+G239</f>
        <v>7110</v>
      </c>
    </row>
    <row r="240" customFormat="false" ht="15" hidden="false" customHeight="true" outlineLevel="0" collapsed="false">
      <c r="B240" s="7" t="n">
        <v>16</v>
      </c>
      <c r="C240" s="9" t="str">
        <f aca="false">Quarters!$E$19</f>
        <v>Q4 2025</v>
      </c>
      <c r="D240" s="7" t="s">
        <v>126</v>
      </c>
      <c r="E240" s="7" t="s">
        <v>127</v>
      </c>
      <c r="F240" s="25" t="n">
        <f aca="false">'Capital Call Schedule'!$D$19*'LP Register'!$F$15</f>
        <v>0</v>
      </c>
      <c r="G240" s="25" t="n">
        <f aca="false">'Capital Call Schedule'!$E$19*'LP Register'!$F$15</f>
        <v>5925</v>
      </c>
      <c r="H240" s="22" t="n">
        <f aca="false">F240+G240</f>
        <v>5925</v>
      </c>
    </row>
    <row r="241" customFormat="false" ht="15" hidden="false" customHeight="true" outlineLevel="0" collapsed="false">
      <c r="B241" s="7" t="n">
        <v>16</v>
      </c>
      <c r="C241" s="9" t="str">
        <f aca="false">Quarters!$E$19</f>
        <v>Q4 2025</v>
      </c>
      <c r="D241" s="7" t="s">
        <v>128</v>
      </c>
      <c r="E241" s="7" t="s">
        <v>129</v>
      </c>
      <c r="F241" s="25" t="n">
        <f aca="false">'Capital Call Schedule'!$D$19*'LP Register'!$F$16</f>
        <v>0</v>
      </c>
      <c r="G241" s="25" t="n">
        <f aca="false">'Capital Call Schedule'!$E$19*'LP Register'!$F$16</f>
        <v>5925</v>
      </c>
      <c r="H241" s="22" t="n">
        <f aca="false">F241+G241</f>
        <v>5925</v>
      </c>
    </row>
    <row r="242" customFormat="false" ht="15" hidden="false" customHeight="true" outlineLevel="0" collapsed="false">
      <c r="B242" s="7" t="n">
        <v>16</v>
      </c>
      <c r="C242" s="9" t="str">
        <f aca="false">Quarters!$E$19</f>
        <v>Q4 2025</v>
      </c>
      <c r="D242" s="7" t="s">
        <v>130</v>
      </c>
      <c r="E242" s="7" t="s">
        <v>131</v>
      </c>
      <c r="F242" s="25" t="n">
        <f aca="false">'Capital Call Schedule'!$D$19*'LP Register'!$F$17</f>
        <v>0</v>
      </c>
      <c r="G242" s="25" t="n">
        <f aca="false">'Capital Call Schedule'!$E$19*'LP Register'!$F$17</f>
        <v>6320</v>
      </c>
      <c r="H242" s="22" t="n">
        <f aca="false">F242+G242</f>
        <v>6320</v>
      </c>
    </row>
    <row r="243" customFormat="false" ht="15" hidden="false" customHeight="true" outlineLevel="0" collapsed="false">
      <c r="B243" s="7" t="n">
        <v>16</v>
      </c>
      <c r="C243" s="9" t="str">
        <f aca="false">Quarters!$E$19</f>
        <v>Q4 2025</v>
      </c>
      <c r="D243" s="7" t="s">
        <v>132</v>
      </c>
      <c r="E243" s="7" t="s">
        <v>133</v>
      </c>
      <c r="F243" s="25" t="n">
        <f aca="false">'Capital Call Schedule'!$D$19*'LP Register'!$F$18</f>
        <v>0</v>
      </c>
      <c r="G243" s="25" t="n">
        <f aca="false">'Capital Call Schedule'!$E$19*'LP Register'!$F$18</f>
        <v>6320</v>
      </c>
      <c r="H243" s="22" t="n">
        <f aca="false">F243+G243</f>
        <v>6320</v>
      </c>
    </row>
    <row r="244" customFormat="false" ht="15" hidden="false" customHeight="true" outlineLevel="0" collapsed="false">
      <c r="B244" s="7" t="n">
        <v>17</v>
      </c>
      <c r="C244" s="9" t="str">
        <f aca="false">Quarters!$E$20</f>
        <v>Q1 2026</v>
      </c>
      <c r="D244" s="7" t="s">
        <v>97</v>
      </c>
      <c r="E244" s="7" t="s">
        <v>98</v>
      </c>
      <c r="F244" s="25" t="n">
        <f aca="false">'Capital Call Schedule'!$D$20*'LP Register'!$F$4</f>
        <v>0</v>
      </c>
      <c r="G244" s="25" t="n">
        <f aca="false">'Capital Call Schedule'!$E$20*'LP Register'!$F$4</f>
        <v>27200</v>
      </c>
      <c r="H244" s="22" t="n">
        <f aca="false">F244+G244</f>
        <v>27200</v>
      </c>
    </row>
    <row r="245" customFormat="false" ht="15" hidden="false" customHeight="true" outlineLevel="0" collapsed="false">
      <c r="B245" s="7" t="n">
        <v>17</v>
      </c>
      <c r="C245" s="9" t="str">
        <f aca="false">Quarters!$E$20</f>
        <v>Q1 2026</v>
      </c>
      <c r="D245" s="7" t="s">
        <v>100</v>
      </c>
      <c r="E245" s="7" t="s">
        <v>101</v>
      </c>
      <c r="F245" s="25" t="n">
        <f aca="false">'Capital Call Schedule'!$D$20*'LP Register'!$F$5</f>
        <v>0</v>
      </c>
      <c r="G245" s="25" t="n">
        <f aca="false">'Capital Call Schedule'!$E$20*'LP Register'!$F$5</f>
        <v>20400</v>
      </c>
      <c r="H245" s="22" t="n">
        <f aca="false">F245+G245</f>
        <v>20400</v>
      </c>
    </row>
    <row r="246" customFormat="false" ht="15" hidden="false" customHeight="true" outlineLevel="0" collapsed="false">
      <c r="B246" s="7" t="n">
        <v>17</v>
      </c>
      <c r="C246" s="9" t="str">
        <f aca="false">Quarters!$E$20</f>
        <v>Q1 2026</v>
      </c>
      <c r="D246" s="7" t="s">
        <v>103</v>
      </c>
      <c r="E246" s="7" t="s">
        <v>104</v>
      </c>
      <c r="F246" s="25" t="n">
        <f aca="false">'Capital Call Schedule'!$D$20*'LP Register'!$F$6</f>
        <v>0</v>
      </c>
      <c r="G246" s="25" t="n">
        <f aca="false">'Capital Call Schedule'!$E$20*'LP Register'!$F$6</f>
        <v>18700</v>
      </c>
      <c r="H246" s="22" t="n">
        <f aca="false">F246+G246</f>
        <v>18700</v>
      </c>
    </row>
    <row r="247" customFormat="false" ht="15" hidden="false" customHeight="true" outlineLevel="0" collapsed="false">
      <c r="B247" s="7" t="n">
        <v>17</v>
      </c>
      <c r="C247" s="9" t="str">
        <f aca="false">Quarters!$E$20</f>
        <v>Q1 2026</v>
      </c>
      <c r="D247" s="7" t="s">
        <v>106</v>
      </c>
      <c r="E247" s="7" t="s">
        <v>107</v>
      </c>
      <c r="F247" s="25" t="n">
        <f aca="false">'Capital Call Schedule'!$D$20*'LP Register'!$F$7</f>
        <v>0</v>
      </c>
      <c r="G247" s="25" t="n">
        <f aca="false">'Capital Call Schedule'!$E$20*'LP Register'!$F$7</f>
        <v>17000</v>
      </c>
      <c r="H247" s="22" t="n">
        <f aca="false">F247+G247</f>
        <v>17000</v>
      </c>
    </row>
    <row r="248" customFormat="false" ht="15" hidden="false" customHeight="true" outlineLevel="0" collapsed="false">
      <c r="B248" s="7" t="n">
        <v>17</v>
      </c>
      <c r="C248" s="9" t="str">
        <f aca="false">Quarters!$E$20</f>
        <v>Q1 2026</v>
      </c>
      <c r="D248" s="7" t="s">
        <v>109</v>
      </c>
      <c r="E248" s="7" t="s">
        <v>110</v>
      </c>
      <c r="F248" s="25" t="n">
        <f aca="false">'Capital Call Schedule'!$D$20*'LP Register'!$F$8</f>
        <v>0</v>
      </c>
      <c r="G248" s="25" t="n">
        <f aca="false">'Capital Call Schedule'!$E$20*'LP Register'!$F$8</f>
        <v>13600</v>
      </c>
      <c r="H248" s="22" t="n">
        <f aca="false">F248+G248</f>
        <v>13600</v>
      </c>
    </row>
    <row r="249" customFormat="false" ht="15" hidden="false" customHeight="true" outlineLevel="0" collapsed="false">
      <c r="B249" s="7" t="n">
        <v>17</v>
      </c>
      <c r="C249" s="9" t="str">
        <f aca="false">Quarters!$E$20</f>
        <v>Q1 2026</v>
      </c>
      <c r="D249" s="7" t="s">
        <v>112</v>
      </c>
      <c r="E249" s="7" t="s">
        <v>113</v>
      </c>
      <c r="F249" s="25" t="n">
        <f aca="false">'Capital Call Schedule'!$D$20*'LP Register'!$F$9</f>
        <v>0</v>
      </c>
      <c r="G249" s="25" t="n">
        <f aca="false">'Capital Call Schedule'!$E$20*'LP Register'!$F$9</f>
        <v>13600</v>
      </c>
      <c r="H249" s="22" t="n">
        <f aca="false">F249+G249</f>
        <v>13600</v>
      </c>
    </row>
    <row r="250" customFormat="false" ht="15" hidden="false" customHeight="true" outlineLevel="0" collapsed="false">
      <c r="B250" s="7" t="n">
        <v>17</v>
      </c>
      <c r="C250" s="9" t="str">
        <f aca="false">Quarters!$E$20</f>
        <v>Q1 2026</v>
      </c>
      <c r="D250" s="7" t="s">
        <v>115</v>
      </c>
      <c r="E250" s="7" t="s">
        <v>116</v>
      </c>
      <c r="F250" s="25" t="n">
        <f aca="false">'Capital Call Schedule'!$D$20*'LP Register'!$F$10</f>
        <v>0</v>
      </c>
      <c r="G250" s="25" t="n">
        <f aca="false">'Capital Call Schedule'!$E$20*'LP Register'!$F$10</f>
        <v>10200</v>
      </c>
      <c r="H250" s="22" t="n">
        <f aca="false">F250+G250</f>
        <v>10200</v>
      </c>
    </row>
    <row r="251" customFormat="false" ht="15" hidden="false" customHeight="true" outlineLevel="0" collapsed="false">
      <c r="B251" s="7" t="n">
        <v>17</v>
      </c>
      <c r="C251" s="9" t="str">
        <f aca="false">Quarters!$E$20</f>
        <v>Q1 2026</v>
      </c>
      <c r="D251" s="7" t="s">
        <v>117</v>
      </c>
      <c r="E251" s="7" t="s">
        <v>118</v>
      </c>
      <c r="F251" s="25" t="n">
        <f aca="false">'Capital Call Schedule'!$D$20*'LP Register'!$F$11</f>
        <v>0</v>
      </c>
      <c r="G251" s="25" t="n">
        <f aca="false">'Capital Call Schedule'!$E$20*'LP Register'!$F$11</f>
        <v>8500</v>
      </c>
      <c r="H251" s="22" t="n">
        <f aca="false">F251+G251</f>
        <v>8500</v>
      </c>
    </row>
    <row r="252" customFormat="false" ht="15" hidden="false" customHeight="true" outlineLevel="0" collapsed="false">
      <c r="B252" s="7" t="n">
        <v>17</v>
      </c>
      <c r="C252" s="9" t="str">
        <f aca="false">Quarters!$E$20</f>
        <v>Q1 2026</v>
      </c>
      <c r="D252" s="7" t="s">
        <v>119</v>
      </c>
      <c r="E252" s="7" t="s">
        <v>120</v>
      </c>
      <c r="F252" s="25" t="n">
        <f aca="false">'Capital Call Schedule'!$D$20*'LP Register'!$F$12</f>
        <v>0</v>
      </c>
      <c r="G252" s="25" t="n">
        <f aca="false">'Capital Call Schedule'!$E$20*'LP Register'!$F$12</f>
        <v>6800</v>
      </c>
      <c r="H252" s="22" t="n">
        <f aca="false">F252+G252</f>
        <v>6800</v>
      </c>
    </row>
    <row r="253" customFormat="false" ht="15" hidden="false" customHeight="true" outlineLevel="0" collapsed="false">
      <c r="B253" s="7" t="n">
        <v>17</v>
      </c>
      <c r="C253" s="9" t="str">
        <f aca="false">Quarters!$E$20</f>
        <v>Q1 2026</v>
      </c>
      <c r="D253" s="7" t="s">
        <v>121</v>
      </c>
      <c r="E253" s="7" t="s">
        <v>122</v>
      </c>
      <c r="F253" s="25" t="n">
        <f aca="false">'Capital Call Schedule'!$D$20*'LP Register'!$F$13</f>
        <v>0</v>
      </c>
      <c r="G253" s="25" t="n">
        <f aca="false">'Capital Call Schedule'!$E$20*'LP Register'!$F$13</f>
        <v>6800</v>
      </c>
      <c r="H253" s="22" t="n">
        <f aca="false">F253+G253</f>
        <v>6800</v>
      </c>
    </row>
    <row r="254" customFormat="false" ht="15" hidden="false" customHeight="true" outlineLevel="0" collapsed="false">
      <c r="B254" s="7" t="n">
        <v>17</v>
      </c>
      <c r="C254" s="9" t="str">
        <f aca="false">Quarters!$E$20</f>
        <v>Q1 2026</v>
      </c>
      <c r="D254" s="7" t="s">
        <v>124</v>
      </c>
      <c r="E254" s="7" t="s">
        <v>125</v>
      </c>
      <c r="F254" s="25" t="n">
        <f aca="false">'Capital Call Schedule'!$D$20*'LP Register'!$F$14</f>
        <v>0</v>
      </c>
      <c r="G254" s="25" t="n">
        <f aca="false">'Capital Call Schedule'!$E$20*'LP Register'!$F$14</f>
        <v>6120</v>
      </c>
      <c r="H254" s="22" t="n">
        <f aca="false">F254+G254</f>
        <v>6120</v>
      </c>
    </row>
    <row r="255" customFormat="false" ht="15" hidden="false" customHeight="true" outlineLevel="0" collapsed="false">
      <c r="B255" s="7" t="n">
        <v>17</v>
      </c>
      <c r="C255" s="9" t="str">
        <f aca="false">Quarters!$E$20</f>
        <v>Q1 2026</v>
      </c>
      <c r="D255" s="7" t="s">
        <v>126</v>
      </c>
      <c r="E255" s="7" t="s">
        <v>127</v>
      </c>
      <c r="F255" s="25" t="n">
        <f aca="false">'Capital Call Schedule'!$D$20*'LP Register'!$F$15</f>
        <v>0</v>
      </c>
      <c r="G255" s="25" t="n">
        <f aca="false">'Capital Call Schedule'!$E$20*'LP Register'!$F$15</f>
        <v>5100</v>
      </c>
      <c r="H255" s="22" t="n">
        <f aca="false">F255+G255</f>
        <v>5100</v>
      </c>
    </row>
    <row r="256" customFormat="false" ht="15" hidden="false" customHeight="true" outlineLevel="0" collapsed="false">
      <c r="B256" s="7" t="n">
        <v>17</v>
      </c>
      <c r="C256" s="9" t="str">
        <f aca="false">Quarters!$E$20</f>
        <v>Q1 2026</v>
      </c>
      <c r="D256" s="7" t="s">
        <v>128</v>
      </c>
      <c r="E256" s="7" t="s">
        <v>129</v>
      </c>
      <c r="F256" s="25" t="n">
        <f aca="false">'Capital Call Schedule'!$D$20*'LP Register'!$F$16</f>
        <v>0</v>
      </c>
      <c r="G256" s="25" t="n">
        <f aca="false">'Capital Call Schedule'!$E$20*'LP Register'!$F$16</f>
        <v>5100</v>
      </c>
      <c r="H256" s="22" t="n">
        <f aca="false">F256+G256</f>
        <v>5100</v>
      </c>
    </row>
    <row r="257" customFormat="false" ht="15" hidden="false" customHeight="true" outlineLevel="0" collapsed="false">
      <c r="B257" s="7" t="n">
        <v>17</v>
      </c>
      <c r="C257" s="9" t="str">
        <f aca="false">Quarters!$E$20</f>
        <v>Q1 2026</v>
      </c>
      <c r="D257" s="7" t="s">
        <v>130</v>
      </c>
      <c r="E257" s="7" t="s">
        <v>131</v>
      </c>
      <c r="F257" s="25" t="n">
        <f aca="false">'Capital Call Schedule'!$D$20*'LP Register'!$F$17</f>
        <v>0</v>
      </c>
      <c r="G257" s="25" t="n">
        <f aca="false">'Capital Call Schedule'!$E$20*'LP Register'!$F$17</f>
        <v>5440</v>
      </c>
      <c r="H257" s="22" t="n">
        <f aca="false">F257+G257</f>
        <v>5440</v>
      </c>
    </row>
    <row r="258" customFormat="false" ht="15" hidden="false" customHeight="true" outlineLevel="0" collapsed="false">
      <c r="B258" s="7" t="n">
        <v>17</v>
      </c>
      <c r="C258" s="9" t="str">
        <f aca="false">Quarters!$E$20</f>
        <v>Q1 2026</v>
      </c>
      <c r="D258" s="7" t="s">
        <v>132</v>
      </c>
      <c r="E258" s="7" t="s">
        <v>133</v>
      </c>
      <c r="F258" s="25" t="n">
        <f aca="false">'Capital Call Schedule'!$D$20*'LP Register'!$F$18</f>
        <v>0</v>
      </c>
      <c r="G258" s="25" t="n">
        <f aca="false">'Capital Call Schedule'!$E$20*'LP Register'!$F$18</f>
        <v>5440</v>
      </c>
      <c r="H258" s="22" t="n">
        <f aca="false">F258+G258</f>
        <v>5440</v>
      </c>
    </row>
    <row r="259" customFormat="false" ht="15" hidden="false" customHeight="true" outlineLevel="0" collapsed="false">
      <c r="B259" s="7" t="n">
        <v>18</v>
      </c>
      <c r="C259" s="9" t="str">
        <f aca="false">Quarters!$E$21</f>
        <v>Q2 2026</v>
      </c>
      <c r="D259" s="7" t="s">
        <v>97</v>
      </c>
      <c r="E259" s="7" t="s">
        <v>98</v>
      </c>
      <c r="F259" s="25" t="n">
        <f aca="false">'Capital Call Schedule'!$D$21*'LP Register'!$F$4</f>
        <v>0</v>
      </c>
      <c r="G259" s="25" t="n">
        <f aca="false">'Capital Call Schedule'!$E$21*'LP Register'!$F$4</f>
        <v>27200</v>
      </c>
      <c r="H259" s="22" t="n">
        <f aca="false">F259+G259</f>
        <v>27200</v>
      </c>
    </row>
    <row r="260" customFormat="false" ht="15" hidden="false" customHeight="true" outlineLevel="0" collapsed="false">
      <c r="B260" s="7" t="n">
        <v>18</v>
      </c>
      <c r="C260" s="9" t="str">
        <f aca="false">Quarters!$E$21</f>
        <v>Q2 2026</v>
      </c>
      <c r="D260" s="7" t="s">
        <v>100</v>
      </c>
      <c r="E260" s="7" t="s">
        <v>101</v>
      </c>
      <c r="F260" s="25" t="n">
        <f aca="false">'Capital Call Schedule'!$D$21*'LP Register'!$F$5</f>
        <v>0</v>
      </c>
      <c r="G260" s="25" t="n">
        <f aca="false">'Capital Call Schedule'!$E$21*'LP Register'!$F$5</f>
        <v>20400</v>
      </c>
      <c r="H260" s="22" t="n">
        <f aca="false">F260+G260</f>
        <v>20400</v>
      </c>
    </row>
    <row r="261" customFormat="false" ht="15" hidden="false" customHeight="true" outlineLevel="0" collapsed="false">
      <c r="B261" s="7" t="n">
        <v>18</v>
      </c>
      <c r="C261" s="9" t="str">
        <f aca="false">Quarters!$E$21</f>
        <v>Q2 2026</v>
      </c>
      <c r="D261" s="7" t="s">
        <v>103</v>
      </c>
      <c r="E261" s="7" t="s">
        <v>104</v>
      </c>
      <c r="F261" s="25" t="n">
        <f aca="false">'Capital Call Schedule'!$D$21*'LP Register'!$F$6</f>
        <v>0</v>
      </c>
      <c r="G261" s="25" t="n">
        <f aca="false">'Capital Call Schedule'!$E$21*'LP Register'!$F$6</f>
        <v>18700</v>
      </c>
      <c r="H261" s="22" t="n">
        <f aca="false">F261+G261</f>
        <v>18700</v>
      </c>
    </row>
    <row r="262" customFormat="false" ht="15" hidden="false" customHeight="true" outlineLevel="0" collapsed="false">
      <c r="B262" s="7" t="n">
        <v>18</v>
      </c>
      <c r="C262" s="9" t="str">
        <f aca="false">Quarters!$E$21</f>
        <v>Q2 2026</v>
      </c>
      <c r="D262" s="7" t="s">
        <v>106</v>
      </c>
      <c r="E262" s="7" t="s">
        <v>107</v>
      </c>
      <c r="F262" s="25" t="n">
        <f aca="false">'Capital Call Schedule'!$D$21*'LP Register'!$F$7</f>
        <v>0</v>
      </c>
      <c r="G262" s="25" t="n">
        <f aca="false">'Capital Call Schedule'!$E$21*'LP Register'!$F$7</f>
        <v>17000</v>
      </c>
      <c r="H262" s="22" t="n">
        <f aca="false">F262+G262</f>
        <v>17000</v>
      </c>
    </row>
    <row r="263" customFormat="false" ht="15" hidden="false" customHeight="true" outlineLevel="0" collapsed="false">
      <c r="B263" s="7" t="n">
        <v>18</v>
      </c>
      <c r="C263" s="9" t="str">
        <f aca="false">Quarters!$E$21</f>
        <v>Q2 2026</v>
      </c>
      <c r="D263" s="7" t="s">
        <v>109</v>
      </c>
      <c r="E263" s="7" t="s">
        <v>110</v>
      </c>
      <c r="F263" s="25" t="n">
        <f aca="false">'Capital Call Schedule'!$D$21*'LP Register'!$F$8</f>
        <v>0</v>
      </c>
      <c r="G263" s="25" t="n">
        <f aca="false">'Capital Call Schedule'!$E$21*'LP Register'!$F$8</f>
        <v>13600</v>
      </c>
      <c r="H263" s="22" t="n">
        <f aca="false">F263+G263</f>
        <v>13600</v>
      </c>
    </row>
    <row r="264" customFormat="false" ht="15" hidden="false" customHeight="true" outlineLevel="0" collapsed="false">
      <c r="B264" s="7" t="n">
        <v>18</v>
      </c>
      <c r="C264" s="9" t="str">
        <f aca="false">Quarters!$E$21</f>
        <v>Q2 2026</v>
      </c>
      <c r="D264" s="7" t="s">
        <v>112</v>
      </c>
      <c r="E264" s="7" t="s">
        <v>113</v>
      </c>
      <c r="F264" s="25" t="n">
        <f aca="false">'Capital Call Schedule'!$D$21*'LP Register'!$F$9</f>
        <v>0</v>
      </c>
      <c r="G264" s="25" t="n">
        <f aca="false">'Capital Call Schedule'!$E$21*'LP Register'!$F$9</f>
        <v>13600</v>
      </c>
      <c r="H264" s="22" t="n">
        <f aca="false">F264+G264</f>
        <v>13600</v>
      </c>
    </row>
    <row r="265" customFormat="false" ht="15" hidden="false" customHeight="true" outlineLevel="0" collapsed="false">
      <c r="B265" s="7" t="n">
        <v>18</v>
      </c>
      <c r="C265" s="9" t="str">
        <f aca="false">Quarters!$E$21</f>
        <v>Q2 2026</v>
      </c>
      <c r="D265" s="7" t="s">
        <v>115</v>
      </c>
      <c r="E265" s="7" t="s">
        <v>116</v>
      </c>
      <c r="F265" s="25" t="n">
        <f aca="false">'Capital Call Schedule'!$D$21*'LP Register'!$F$10</f>
        <v>0</v>
      </c>
      <c r="G265" s="25" t="n">
        <f aca="false">'Capital Call Schedule'!$E$21*'LP Register'!$F$10</f>
        <v>10200</v>
      </c>
      <c r="H265" s="22" t="n">
        <f aca="false">F265+G265</f>
        <v>10200</v>
      </c>
    </row>
    <row r="266" customFormat="false" ht="15" hidden="false" customHeight="true" outlineLevel="0" collapsed="false">
      <c r="B266" s="7" t="n">
        <v>18</v>
      </c>
      <c r="C266" s="9" t="str">
        <f aca="false">Quarters!$E$21</f>
        <v>Q2 2026</v>
      </c>
      <c r="D266" s="7" t="s">
        <v>117</v>
      </c>
      <c r="E266" s="7" t="s">
        <v>118</v>
      </c>
      <c r="F266" s="25" t="n">
        <f aca="false">'Capital Call Schedule'!$D$21*'LP Register'!$F$11</f>
        <v>0</v>
      </c>
      <c r="G266" s="25" t="n">
        <f aca="false">'Capital Call Schedule'!$E$21*'LP Register'!$F$11</f>
        <v>8500</v>
      </c>
      <c r="H266" s="22" t="n">
        <f aca="false">F266+G266</f>
        <v>8500</v>
      </c>
    </row>
    <row r="267" customFormat="false" ht="15" hidden="false" customHeight="true" outlineLevel="0" collapsed="false">
      <c r="B267" s="7" t="n">
        <v>18</v>
      </c>
      <c r="C267" s="9" t="str">
        <f aca="false">Quarters!$E$21</f>
        <v>Q2 2026</v>
      </c>
      <c r="D267" s="7" t="s">
        <v>119</v>
      </c>
      <c r="E267" s="7" t="s">
        <v>120</v>
      </c>
      <c r="F267" s="25" t="n">
        <f aca="false">'Capital Call Schedule'!$D$21*'LP Register'!$F$12</f>
        <v>0</v>
      </c>
      <c r="G267" s="25" t="n">
        <f aca="false">'Capital Call Schedule'!$E$21*'LP Register'!$F$12</f>
        <v>6800</v>
      </c>
      <c r="H267" s="22" t="n">
        <f aca="false">F267+G267</f>
        <v>6800</v>
      </c>
    </row>
    <row r="268" customFormat="false" ht="15" hidden="false" customHeight="true" outlineLevel="0" collapsed="false">
      <c r="B268" s="7" t="n">
        <v>18</v>
      </c>
      <c r="C268" s="9" t="str">
        <f aca="false">Quarters!$E$21</f>
        <v>Q2 2026</v>
      </c>
      <c r="D268" s="7" t="s">
        <v>121</v>
      </c>
      <c r="E268" s="7" t="s">
        <v>122</v>
      </c>
      <c r="F268" s="25" t="n">
        <f aca="false">'Capital Call Schedule'!$D$21*'LP Register'!$F$13</f>
        <v>0</v>
      </c>
      <c r="G268" s="25" t="n">
        <f aca="false">'Capital Call Schedule'!$E$21*'LP Register'!$F$13</f>
        <v>6800</v>
      </c>
      <c r="H268" s="22" t="n">
        <f aca="false">F268+G268</f>
        <v>6800</v>
      </c>
    </row>
    <row r="269" customFormat="false" ht="15" hidden="false" customHeight="true" outlineLevel="0" collapsed="false">
      <c r="B269" s="7" t="n">
        <v>18</v>
      </c>
      <c r="C269" s="9" t="str">
        <f aca="false">Quarters!$E$21</f>
        <v>Q2 2026</v>
      </c>
      <c r="D269" s="7" t="s">
        <v>124</v>
      </c>
      <c r="E269" s="7" t="s">
        <v>125</v>
      </c>
      <c r="F269" s="25" t="n">
        <f aca="false">'Capital Call Schedule'!$D$21*'LP Register'!$F$14</f>
        <v>0</v>
      </c>
      <c r="G269" s="25" t="n">
        <f aca="false">'Capital Call Schedule'!$E$21*'LP Register'!$F$14</f>
        <v>6120</v>
      </c>
      <c r="H269" s="22" t="n">
        <f aca="false">F269+G269</f>
        <v>6120</v>
      </c>
    </row>
    <row r="270" customFormat="false" ht="15" hidden="false" customHeight="true" outlineLevel="0" collapsed="false">
      <c r="B270" s="7" t="n">
        <v>18</v>
      </c>
      <c r="C270" s="9" t="str">
        <f aca="false">Quarters!$E$21</f>
        <v>Q2 2026</v>
      </c>
      <c r="D270" s="7" t="s">
        <v>126</v>
      </c>
      <c r="E270" s="7" t="s">
        <v>127</v>
      </c>
      <c r="F270" s="25" t="n">
        <f aca="false">'Capital Call Schedule'!$D$21*'LP Register'!$F$15</f>
        <v>0</v>
      </c>
      <c r="G270" s="25" t="n">
        <f aca="false">'Capital Call Schedule'!$E$21*'LP Register'!$F$15</f>
        <v>5100</v>
      </c>
      <c r="H270" s="22" t="n">
        <f aca="false">F270+G270</f>
        <v>5100</v>
      </c>
    </row>
    <row r="271" customFormat="false" ht="15" hidden="false" customHeight="true" outlineLevel="0" collapsed="false">
      <c r="B271" s="7" t="n">
        <v>18</v>
      </c>
      <c r="C271" s="9" t="str">
        <f aca="false">Quarters!$E$21</f>
        <v>Q2 2026</v>
      </c>
      <c r="D271" s="7" t="s">
        <v>128</v>
      </c>
      <c r="E271" s="7" t="s">
        <v>129</v>
      </c>
      <c r="F271" s="25" t="n">
        <f aca="false">'Capital Call Schedule'!$D$21*'LP Register'!$F$16</f>
        <v>0</v>
      </c>
      <c r="G271" s="25" t="n">
        <f aca="false">'Capital Call Schedule'!$E$21*'LP Register'!$F$16</f>
        <v>5100</v>
      </c>
      <c r="H271" s="22" t="n">
        <f aca="false">F271+G271</f>
        <v>5100</v>
      </c>
    </row>
    <row r="272" customFormat="false" ht="15" hidden="false" customHeight="true" outlineLevel="0" collapsed="false">
      <c r="B272" s="7" t="n">
        <v>18</v>
      </c>
      <c r="C272" s="9" t="str">
        <f aca="false">Quarters!$E$21</f>
        <v>Q2 2026</v>
      </c>
      <c r="D272" s="7" t="s">
        <v>130</v>
      </c>
      <c r="E272" s="7" t="s">
        <v>131</v>
      </c>
      <c r="F272" s="25" t="n">
        <f aca="false">'Capital Call Schedule'!$D$21*'LP Register'!$F$17</f>
        <v>0</v>
      </c>
      <c r="G272" s="25" t="n">
        <f aca="false">'Capital Call Schedule'!$E$21*'LP Register'!$F$17</f>
        <v>5440</v>
      </c>
      <c r="H272" s="22" t="n">
        <f aca="false">F272+G272</f>
        <v>5440</v>
      </c>
    </row>
    <row r="273" customFormat="false" ht="15" hidden="false" customHeight="true" outlineLevel="0" collapsed="false">
      <c r="B273" s="7" t="n">
        <v>18</v>
      </c>
      <c r="C273" s="9" t="str">
        <f aca="false">Quarters!$E$21</f>
        <v>Q2 2026</v>
      </c>
      <c r="D273" s="7" t="s">
        <v>132</v>
      </c>
      <c r="E273" s="7" t="s">
        <v>133</v>
      </c>
      <c r="F273" s="25" t="n">
        <f aca="false">'Capital Call Schedule'!$D$21*'LP Register'!$F$18</f>
        <v>0</v>
      </c>
      <c r="G273" s="25" t="n">
        <f aca="false">'Capital Call Schedule'!$E$21*'LP Register'!$F$18</f>
        <v>5440</v>
      </c>
      <c r="H273" s="22" t="n">
        <f aca="false">F273+G273</f>
        <v>5440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4" min="4" style="1" width="8"/>
    <col collapsed="false" customWidth="true" hidden="false" outlineLevel="0" max="5" min="5" style="1" width="26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9" min="9" style="1" width="13"/>
    <col collapsed="false" customWidth="true" hidden="false" outlineLevel="0" max="11" min="10" style="1" width="15"/>
    <col collapsed="false" customWidth="true" hidden="false" outlineLevel="0" max="13" min="12" style="1" width="17"/>
    <col collapsed="false" customWidth="true" hidden="false" outlineLevel="0" max="14" min="14" style="1" width="15"/>
  </cols>
  <sheetData>
    <row r="1" customFormat="false" ht="21.75" hidden="false" customHeight="true" outlineLevel="0" collapsed="false">
      <c r="A1" s="2" t="s">
        <v>231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232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34.5" hidden="false" customHeight="true" outlineLevel="0" collapsed="false">
      <c r="B3" s="15" t="s">
        <v>175</v>
      </c>
      <c r="C3" s="15" t="s">
        <v>69</v>
      </c>
      <c r="D3" s="15" t="s">
        <v>92</v>
      </c>
      <c r="E3" s="15" t="s">
        <v>93</v>
      </c>
      <c r="F3" s="15" t="s">
        <v>233</v>
      </c>
      <c r="G3" s="15" t="s">
        <v>223</v>
      </c>
      <c r="H3" s="15" t="s">
        <v>234</v>
      </c>
      <c r="I3" s="15" t="s">
        <v>235</v>
      </c>
      <c r="J3" s="15" t="s">
        <v>236</v>
      </c>
      <c r="K3" s="15" t="s">
        <v>237</v>
      </c>
      <c r="L3" s="15" t="s">
        <v>238</v>
      </c>
      <c r="M3" s="15" t="s">
        <v>239</v>
      </c>
      <c r="N3" s="15" t="s">
        <v>240</v>
      </c>
      <c r="O3" s="27" t="s">
        <v>241</v>
      </c>
    </row>
    <row r="4" customFormat="false" ht="15" hidden="false" customHeight="true" outlineLevel="0" collapsed="false">
      <c r="B4" s="7" t="n">
        <v>1</v>
      </c>
      <c r="C4" s="9" t="str">
        <f aca="false">Quarters!$E$4</f>
        <v>Q1 2022</v>
      </c>
      <c r="D4" s="7" t="s">
        <v>97</v>
      </c>
      <c r="E4" s="7" t="s">
        <v>98</v>
      </c>
      <c r="F4" s="22" t="s">
        <v>218</v>
      </c>
      <c r="G4" s="25" t="n">
        <f aca="false">'LP Capital Calls'!$H$4</f>
        <v>1000000</v>
      </c>
      <c r="H4" s="25" t="n">
        <f aca="false">'Distribution Waterfall'!$L$4*'LP Register'!$F$4</f>
        <v>0</v>
      </c>
      <c r="I4" s="25" t="n">
        <f aca="false">'Distribution Waterfall'!$N$4*'LP Register'!$F$4</f>
        <v>0</v>
      </c>
      <c r="J4" s="25" t="n">
        <f aca="false">'Distribution Waterfall'!$T$4*'LP Register'!$F$4</f>
        <v>0</v>
      </c>
      <c r="K4" s="26" t="n">
        <f aca="false">H4+I4+J4</f>
        <v>0</v>
      </c>
      <c r="L4" s="25" t="n">
        <f aca="false">('NAV Rollforward'!$G$4+'NAV Rollforward'!$H$4-'Mgmt Fee Schedule'!$G$4)*'LP Register'!$F$4</f>
        <v>-40000</v>
      </c>
      <c r="M4" s="25" t="n">
        <f aca="false">-('Distribution Waterfall'!$Q$4+'Distribution Waterfall'!$U$4)*'LP Register'!$F$4</f>
        <v>-0</v>
      </c>
      <c r="N4" s="26" t="n">
        <f aca="false">F4+G4-K4+L4+M4</f>
        <v>960000</v>
      </c>
      <c r="O4" s="7" t="str">
        <f aca="false">B4&amp;"|"&amp;D4</f>
        <v>1|LP-01</v>
      </c>
    </row>
    <row r="5" customFormat="false" ht="15" hidden="false" customHeight="true" outlineLevel="0" collapsed="false">
      <c r="B5" s="7" t="n">
        <v>1</v>
      </c>
      <c r="C5" s="9" t="str">
        <f aca="false">Quarters!$E$4</f>
        <v>Q1 2022</v>
      </c>
      <c r="D5" s="7" t="s">
        <v>100</v>
      </c>
      <c r="E5" s="7" t="s">
        <v>101</v>
      </c>
      <c r="F5" s="22" t="s">
        <v>218</v>
      </c>
      <c r="G5" s="25" t="n">
        <f aca="false">'LP Capital Calls'!$H$5</f>
        <v>750000</v>
      </c>
      <c r="H5" s="25" t="n">
        <f aca="false">'Distribution Waterfall'!$L$4*'LP Register'!$F$5</f>
        <v>0</v>
      </c>
      <c r="I5" s="25" t="n">
        <f aca="false">'Distribution Waterfall'!$N$4*'LP Register'!$F$5</f>
        <v>0</v>
      </c>
      <c r="J5" s="25" t="n">
        <f aca="false">'Distribution Waterfall'!$T$4*'LP Register'!$F$5</f>
        <v>0</v>
      </c>
      <c r="K5" s="26" t="n">
        <f aca="false">H5+I5+J5</f>
        <v>0</v>
      </c>
      <c r="L5" s="25" t="n">
        <f aca="false">('NAV Rollforward'!$G$4+'NAV Rollforward'!$H$4-'Mgmt Fee Schedule'!$G$4)*'LP Register'!$F$5</f>
        <v>-30000</v>
      </c>
      <c r="M5" s="25" t="n">
        <f aca="false">-('Distribution Waterfall'!$Q$4+'Distribution Waterfall'!$U$4)*'LP Register'!$F$5</f>
        <v>-0</v>
      </c>
      <c r="N5" s="26" t="n">
        <f aca="false">F5+G5-K5+L5+M5</f>
        <v>720000</v>
      </c>
      <c r="O5" s="7" t="str">
        <f aca="false">B5&amp;"|"&amp;D5</f>
        <v>1|LP-02</v>
      </c>
    </row>
    <row r="6" customFormat="false" ht="15" hidden="false" customHeight="true" outlineLevel="0" collapsed="false">
      <c r="B6" s="7" t="n">
        <v>1</v>
      </c>
      <c r="C6" s="9" t="str">
        <f aca="false">Quarters!$E$4</f>
        <v>Q1 2022</v>
      </c>
      <c r="D6" s="7" t="s">
        <v>103</v>
      </c>
      <c r="E6" s="7" t="s">
        <v>104</v>
      </c>
      <c r="F6" s="22" t="s">
        <v>218</v>
      </c>
      <c r="G6" s="25" t="n">
        <f aca="false">'LP Capital Calls'!$H$6</f>
        <v>687500</v>
      </c>
      <c r="H6" s="25" t="n">
        <f aca="false">'Distribution Waterfall'!$L$4*'LP Register'!$F$6</f>
        <v>0</v>
      </c>
      <c r="I6" s="25" t="n">
        <f aca="false">'Distribution Waterfall'!$N$4*'LP Register'!$F$6</f>
        <v>0</v>
      </c>
      <c r="J6" s="25" t="n">
        <f aca="false">'Distribution Waterfall'!$T$4*'LP Register'!$F$6</f>
        <v>0</v>
      </c>
      <c r="K6" s="26" t="n">
        <f aca="false">H6+I6+J6</f>
        <v>0</v>
      </c>
      <c r="L6" s="25" t="n">
        <f aca="false">('NAV Rollforward'!$G$4+'NAV Rollforward'!$H$4-'Mgmt Fee Schedule'!$G$4)*'LP Register'!$F$6</f>
        <v>-27500</v>
      </c>
      <c r="M6" s="25" t="n">
        <f aca="false">-('Distribution Waterfall'!$Q$4+'Distribution Waterfall'!$U$4)*'LP Register'!$F$6</f>
        <v>-0</v>
      </c>
      <c r="N6" s="26" t="n">
        <f aca="false">F6+G6-K6+L6+M6</f>
        <v>660000</v>
      </c>
      <c r="O6" s="7" t="str">
        <f aca="false">B6&amp;"|"&amp;D6</f>
        <v>1|LP-03</v>
      </c>
    </row>
    <row r="7" customFormat="false" ht="15" hidden="false" customHeight="true" outlineLevel="0" collapsed="false">
      <c r="B7" s="7" t="n">
        <v>1</v>
      </c>
      <c r="C7" s="9" t="str">
        <f aca="false">Quarters!$E$4</f>
        <v>Q1 2022</v>
      </c>
      <c r="D7" s="7" t="s">
        <v>106</v>
      </c>
      <c r="E7" s="7" t="s">
        <v>107</v>
      </c>
      <c r="F7" s="22" t="s">
        <v>218</v>
      </c>
      <c r="G7" s="25" t="n">
        <f aca="false">'LP Capital Calls'!$H$7</f>
        <v>625000</v>
      </c>
      <c r="H7" s="25" t="n">
        <f aca="false">'Distribution Waterfall'!$L$4*'LP Register'!$F$7</f>
        <v>0</v>
      </c>
      <c r="I7" s="25" t="n">
        <f aca="false">'Distribution Waterfall'!$N$4*'LP Register'!$F$7</f>
        <v>0</v>
      </c>
      <c r="J7" s="25" t="n">
        <f aca="false">'Distribution Waterfall'!$T$4*'LP Register'!$F$7</f>
        <v>0</v>
      </c>
      <c r="K7" s="26" t="n">
        <f aca="false">H7+I7+J7</f>
        <v>0</v>
      </c>
      <c r="L7" s="25" t="n">
        <f aca="false">('NAV Rollforward'!$G$4+'NAV Rollforward'!$H$4-'Mgmt Fee Schedule'!$G$4)*'LP Register'!$F$7</f>
        <v>-25000</v>
      </c>
      <c r="M7" s="25" t="n">
        <f aca="false">-('Distribution Waterfall'!$Q$4+'Distribution Waterfall'!$U$4)*'LP Register'!$F$7</f>
        <v>-0</v>
      </c>
      <c r="N7" s="26" t="n">
        <f aca="false">F7+G7-K7+L7+M7</f>
        <v>600000</v>
      </c>
      <c r="O7" s="7" t="str">
        <f aca="false">B7&amp;"|"&amp;D7</f>
        <v>1|LP-04</v>
      </c>
    </row>
    <row r="8" customFormat="false" ht="15" hidden="false" customHeight="true" outlineLevel="0" collapsed="false">
      <c r="B8" s="7" t="n">
        <v>1</v>
      </c>
      <c r="C8" s="9" t="str">
        <f aca="false">Quarters!$E$4</f>
        <v>Q1 2022</v>
      </c>
      <c r="D8" s="7" t="s">
        <v>109</v>
      </c>
      <c r="E8" s="7" t="s">
        <v>110</v>
      </c>
      <c r="F8" s="22" t="s">
        <v>218</v>
      </c>
      <c r="G8" s="25" t="n">
        <f aca="false">'LP Capital Calls'!$H$8</f>
        <v>500000</v>
      </c>
      <c r="H8" s="25" t="n">
        <f aca="false">'Distribution Waterfall'!$L$4*'LP Register'!$F$8</f>
        <v>0</v>
      </c>
      <c r="I8" s="25" t="n">
        <f aca="false">'Distribution Waterfall'!$N$4*'LP Register'!$F$8</f>
        <v>0</v>
      </c>
      <c r="J8" s="25" t="n">
        <f aca="false">'Distribution Waterfall'!$T$4*'LP Register'!$F$8</f>
        <v>0</v>
      </c>
      <c r="K8" s="26" t="n">
        <f aca="false">H8+I8+J8</f>
        <v>0</v>
      </c>
      <c r="L8" s="25" t="n">
        <f aca="false">('NAV Rollforward'!$G$4+'NAV Rollforward'!$H$4-'Mgmt Fee Schedule'!$G$4)*'LP Register'!$F$8</f>
        <v>-20000</v>
      </c>
      <c r="M8" s="25" t="n">
        <f aca="false">-('Distribution Waterfall'!$Q$4+'Distribution Waterfall'!$U$4)*'LP Register'!$F$8</f>
        <v>-0</v>
      </c>
      <c r="N8" s="26" t="n">
        <f aca="false">F8+G8-K8+L8+M8</f>
        <v>480000</v>
      </c>
      <c r="O8" s="7" t="str">
        <f aca="false">B8&amp;"|"&amp;D8</f>
        <v>1|LP-05</v>
      </c>
    </row>
    <row r="9" customFormat="false" ht="15" hidden="false" customHeight="true" outlineLevel="0" collapsed="false">
      <c r="B9" s="7" t="n">
        <v>1</v>
      </c>
      <c r="C9" s="9" t="str">
        <f aca="false">Quarters!$E$4</f>
        <v>Q1 2022</v>
      </c>
      <c r="D9" s="7" t="s">
        <v>112</v>
      </c>
      <c r="E9" s="7" t="s">
        <v>113</v>
      </c>
      <c r="F9" s="22" t="s">
        <v>218</v>
      </c>
      <c r="G9" s="25" t="n">
        <f aca="false">'LP Capital Calls'!$H$9</f>
        <v>500000</v>
      </c>
      <c r="H9" s="25" t="n">
        <f aca="false">'Distribution Waterfall'!$L$4*'LP Register'!$F$9</f>
        <v>0</v>
      </c>
      <c r="I9" s="25" t="n">
        <f aca="false">'Distribution Waterfall'!$N$4*'LP Register'!$F$9</f>
        <v>0</v>
      </c>
      <c r="J9" s="25" t="n">
        <f aca="false">'Distribution Waterfall'!$T$4*'LP Register'!$F$9</f>
        <v>0</v>
      </c>
      <c r="K9" s="26" t="n">
        <f aca="false">H9+I9+J9</f>
        <v>0</v>
      </c>
      <c r="L9" s="25" t="n">
        <f aca="false">('NAV Rollforward'!$G$4+'NAV Rollforward'!$H$4-'Mgmt Fee Schedule'!$G$4)*'LP Register'!$F$9</f>
        <v>-20000</v>
      </c>
      <c r="M9" s="25" t="n">
        <f aca="false">-('Distribution Waterfall'!$Q$4+'Distribution Waterfall'!$U$4)*'LP Register'!$F$9</f>
        <v>-0</v>
      </c>
      <c r="N9" s="26" t="n">
        <f aca="false">F9+G9-K9+L9+M9</f>
        <v>480000</v>
      </c>
      <c r="O9" s="7" t="str">
        <f aca="false">B9&amp;"|"&amp;D9</f>
        <v>1|LP-06</v>
      </c>
    </row>
    <row r="10" customFormat="false" ht="15" hidden="false" customHeight="true" outlineLevel="0" collapsed="false">
      <c r="B10" s="7" t="n">
        <v>1</v>
      </c>
      <c r="C10" s="9" t="str">
        <f aca="false">Quarters!$E$4</f>
        <v>Q1 2022</v>
      </c>
      <c r="D10" s="7" t="s">
        <v>115</v>
      </c>
      <c r="E10" s="7" t="s">
        <v>116</v>
      </c>
      <c r="F10" s="22" t="s">
        <v>218</v>
      </c>
      <c r="G10" s="25" t="n">
        <f aca="false">'LP Capital Calls'!$H$10</f>
        <v>375000</v>
      </c>
      <c r="H10" s="25" t="n">
        <f aca="false">'Distribution Waterfall'!$L$4*'LP Register'!$F$10</f>
        <v>0</v>
      </c>
      <c r="I10" s="25" t="n">
        <f aca="false">'Distribution Waterfall'!$N$4*'LP Register'!$F$10</f>
        <v>0</v>
      </c>
      <c r="J10" s="25" t="n">
        <f aca="false">'Distribution Waterfall'!$T$4*'LP Register'!$F$10</f>
        <v>0</v>
      </c>
      <c r="K10" s="26" t="n">
        <f aca="false">H10+I10+J10</f>
        <v>0</v>
      </c>
      <c r="L10" s="25" t="n">
        <f aca="false">('NAV Rollforward'!$G$4+'NAV Rollforward'!$H$4-'Mgmt Fee Schedule'!$G$4)*'LP Register'!$F$10</f>
        <v>-15000</v>
      </c>
      <c r="M10" s="25" t="n">
        <f aca="false">-('Distribution Waterfall'!$Q$4+'Distribution Waterfall'!$U$4)*'LP Register'!$F$10</f>
        <v>-0</v>
      </c>
      <c r="N10" s="26" t="n">
        <f aca="false">F10+G10-K10+L10+M10</f>
        <v>360000</v>
      </c>
      <c r="O10" s="7" t="str">
        <f aca="false">B10&amp;"|"&amp;D10</f>
        <v>1|LP-07</v>
      </c>
    </row>
    <row r="11" customFormat="false" ht="15" hidden="false" customHeight="true" outlineLevel="0" collapsed="false">
      <c r="B11" s="7" t="n">
        <v>1</v>
      </c>
      <c r="C11" s="9" t="str">
        <f aca="false">Quarters!$E$4</f>
        <v>Q1 2022</v>
      </c>
      <c r="D11" s="7" t="s">
        <v>117</v>
      </c>
      <c r="E11" s="7" t="s">
        <v>118</v>
      </c>
      <c r="F11" s="22" t="s">
        <v>218</v>
      </c>
      <c r="G11" s="25" t="n">
        <f aca="false">'LP Capital Calls'!$H$11</f>
        <v>312500</v>
      </c>
      <c r="H11" s="25" t="n">
        <f aca="false">'Distribution Waterfall'!$L$4*'LP Register'!$F$11</f>
        <v>0</v>
      </c>
      <c r="I11" s="25" t="n">
        <f aca="false">'Distribution Waterfall'!$N$4*'LP Register'!$F$11</f>
        <v>0</v>
      </c>
      <c r="J11" s="25" t="n">
        <f aca="false">'Distribution Waterfall'!$T$4*'LP Register'!$F$11</f>
        <v>0</v>
      </c>
      <c r="K11" s="26" t="n">
        <f aca="false">H11+I11+J11</f>
        <v>0</v>
      </c>
      <c r="L11" s="25" t="n">
        <f aca="false">('NAV Rollforward'!$G$4+'NAV Rollforward'!$H$4-'Mgmt Fee Schedule'!$G$4)*'LP Register'!$F$11</f>
        <v>-12500</v>
      </c>
      <c r="M11" s="25" t="n">
        <f aca="false">-('Distribution Waterfall'!$Q$4+'Distribution Waterfall'!$U$4)*'LP Register'!$F$11</f>
        <v>-0</v>
      </c>
      <c r="N11" s="26" t="n">
        <f aca="false">F11+G11-K11+L11+M11</f>
        <v>300000</v>
      </c>
      <c r="O11" s="7" t="str">
        <f aca="false">B11&amp;"|"&amp;D11</f>
        <v>1|LP-08</v>
      </c>
    </row>
    <row r="12" customFormat="false" ht="15" hidden="false" customHeight="true" outlineLevel="0" collapsed="false">
      <c r="B12" s="7" t="n">
        <v>1</v>
      </c>
      <c r="C12" s="9" t="str">
        <f aca="false">Quarters!$E$4</f>
        <v>Q1 2022</v>
      </c>
      <c r="D12" s="7" t="s">
        <v>119</v>
      </c>
      <c r="E12" s="7" t="s">
        <v>120</v>
      </c>
      <c r="F12" s="22" t="s">
        <v>218</v>
      </c>
      <c r="G12" s="25" t="n">
        <f aca="false">'LP Capital Calls'!$H$12</f>
        <v>250000</v>
      </c>
      <c r="H12" s="25" t="n">
        <f aca="false">'Distribution Waterfall'!$L$4*'LP Register'!$F$12</f>
        <v>0</v>
      </c>
      <c r="I12" s="25" t="n">
        <f aca="false">'Distribution Waterfall'!$N$4*'LP Register'!$F$12</f>
        <v>0</v>
      </c>
      <c r="J12" s="25" t="n">
        <f aca="false">'Distribution Waterfall'!$T$4*'LP Register'!$F$12</f>
        <v>0</v>
      </c>
      <c r="K12" s="26" t="n">
        <f aca="false">H12+I12+J12</f>
        <v>0</v>
      </c>
      <c r="L12" s="25" t="n">
        <f aca="false">('NAV Rollforward'!$G$4+'NAV Rollforward'!$H$4-'Mgmt Fee Schedule'!$G$4)*'LP Register'!$F$12</f>
        <v>-10000</v>
      </c>
      <c r="M12" s="25" t="n">
        <f aca="false">-('Distribution Waterfall'!$Q$4+'Distribution Waterfall'!$U$4)*'LP Register'!$F$12</f>
        <v>-0</v>
      </c>
      <c r="N12" s="26" t="n">
        <f aca="false">F12+G12-K12+L12+M12</f>
        <v>240000</v>
      </c>
      <c r="O12" s="7" t="str">
        <f aca="false">B12&amp;"|"&amp;D12</f>
        <v>1|LP-09</v>
      </c>
    </row>
    <row r="13" customFormat="false" ht="15" hidden="false" customHeight="true" outlineLevel="0" collapsed="false">
      <c r="B13" s="7" t="n">
        <v>1</v>
      </c>
      <c r="C13" s="9" t="str">
        <f aca="false">Quarters!$E$4</f>
        <v>Q1 2022</v>
      </c>
      <c r="D13" s="7" t="s">
        <v>121</v>
      </c>
      <c r="E13" s="7" t="s">
        <v>122</v>
      </c>
      <c r="F13" s="22" t="s">
        <v>218</v>
      </c>
      <c r="G13" s="25" t="n">
        <f aca="false">'LP Capital Calls'!$H$13</f>
        <v>250000</v>
      </c>
      <c r="H13" s="25" t="n">
        <f aca="false">'Distribution Waterfall'!$L$4*'LP Register'!$F$13</f>
        <v>0</v>
      </c>
      <c r="I13" s="25" t="n">
        <f aca="false">'Distribution Waterfall'!$N$4*'LP Register'!$F$13</f>
        <v>0</v>
      </c>
      <c r="J13" s="25" t="n">
        <f aca="false">'Distribution Waterfall'!$T$4*'LP Register'!$F$13</f>
        <v>0</v>
      </c>
      <c r="K13" s="26" t="n">
        <f aca="false">H13+I13+J13</f>
        <v>0</v>
      </c>
      <c r="L13" s="25" t="n">
        <f aca="false">('NAV Rollforward'!$G$4+'NAV Rollforward'!$H$4-'Mgmt Fee Schedule'!$G$4)*'LP Register'!$F$13</f>
        <v>-10000</v>
      </c>
      <c r="M13" s="25" t="n">
        <f aca="false">-('Distribution Waterfall'!$Q$4+'Distribution Waterfall'!$U$4)*'LP Register'!$F$13</f>
        <v>-0</v>
      </c>
      <c r="N13" s="26" t="n">
        <f aca="false">F13+G13-K13+L13+M13</f>
        <v>240000</v>
      </c>
      <c r="O13" s="7" t="str">
        <f aca="false">B13&amp;"|"&amp;D13</f>
        <v>1|LP-10</v>
      </c>
    </row>
    <row r="14" customFormat="false" ht="15" hidden="false" customHeight="true" outlineLevel="0" collapsed="false">
      <c r="B14" s="7" t="n">
        <v>1</v>
      </c>
      <c r="C14" s="9" t="str">
        <f aca="false">Quarters!$E$4</f>
        <v>Q1 2022</v>
      </c>
      <c r="D14" s="7" t="s">
        <v>124</v>
      </c>
      <c r="E14" s="7" t="s">
        <v>125</v>
      </c>
      <c r="F14" s="22" t="s">
        <v>218</v>
      </c>
      <c r="G14" s="25" t="n">
        <f aca="false">'LP Capital Calls'!$H$14</f>
        <v>225000</v>
      </c>
      <c r="H14" s="25" t="n">
        <f aca="false">'Distribution Waterfall'!$L$4*'LP Register'!$F$14</f>
        <v>0</v>
      </c>
      <c r="I14" s="25" t="n">
        <f aca="false">'Distribution Waterfall'!$N$4*'LP Register'!$F$14</f>
        <v>0</v>
      </c>
      <c r="J14" s="25" t="n">
        <f aca="false">'Distribution Waterfall'!$T$4*'LP Register'!$F$14</f>
        <v>0</v>
      </c>
      <c r="K14" s="26" t="n">
        <f aca="false">H14+I14+J14</f>
        <v>0</v>
      </c>
      <c r="L14" s="25" t="n">
        <f aca="false">('NAV Rollforward'!$G$4+'NAV Rollforward'!$H$4-'Mgmt Fee Schedule'!$G$4)*'LP Register'!$F$14</f>
        <v>-9000</v>
      </c>
      <c r="M14" s="25" t="n">
        <f aca="false">-('Distribution Waterfall'!$Q$4+'Distribution Waterfall'!$U$4)*'LP Register'!$F$14</f>
        <v>-0</v>
      </c>
      <c r="N14" s="26" t="n">
        <f aca="false">F14+G14-K14+L14+M14</f>
        <v>216000</v>
      </c>
      <c r="O14" s="7" t="str">
        <f aca="false">B14&amp;"|"&amp;D14</f>
        <v>1|LP-11</v>
      </c>
    </row>
    <row r="15" customFormat="false" ht="15" hidden="false" customHeight="true" outlineLevel="0" collapsed="false">
      <c r="B15" s="7" t="n">
        <v>1</v>
      </c>
      <c r="C15" s="9" t="str">
        <f aca="false">Quarters!$E$4</f>
        <v>Q1 2022</v>
      </c>
      <c r="D15" s="7" t="s">
        <v>126</v>
      </c>
      <c r="E15" s="7" t="s">
        <v>127</v>
      </c>
      <c r="F15" s="22" t="s">
        <v>218</v>
      </c>
      <c r="G15" s="25" t="n">
        <f aca="false">'LP Capital Calls'!$H$15</f>
        <v>187500</v>
      </c>
      <c r="H15" s="25" t="n">
        <f aca="false">'Distribution Waterfall'!$L$4*'LP Register'!$F$15</f>
        <v>0</v>
      </c>
      <c r="I15" s="25" t="n">
        <f aca="false">'Distribution Waterfall'!$N$4*'LP Register'!$F$15</f>
        <v>0</v>
      </c>
      <c r="J15" s="25" t="n">
        <f aca="false">'Distribution Waterfall'!$T$4*'LP Register'!$F$15</f>
        <v>0</v>
      </c>
      <c r="K15" s="26" t="n">
        <f aca="false">H15+I15+J15</f>
        <v>0</v>
      </c>
      <c r="L15" s="25" t="n">
        <f aca="false">('NAV Rollforward'!$G$4+'NAV Rollforward'!$H$4-'Mgmt Fee Schedule'!$G$4)*'LP Register'!$F$15</f>
        <v>-7500</v>
      </c>
      <c r="M15" s="25" t="n">
        <f aca="false">-('Distribution Waterfall'!$Q$4+'Distribution Waterfall'!$U$4)*'LP Register'!$F$15</f>
        <v>-0</v>
      </c>
      <c r="N15" s="26" t="n">
        <f aca="false">F15+G15-K15+L15+M15</f>
        <v>180000</v>
      </c>
      <c r="O15" s="7" t="str">
        <f aca="false">B15&amp;"|"&amp;D15</f>
        <v>1|LP-12</v>
      </c>
    </row>
    <row r="16" customFormat="false" ht="15" hidden="false" customHeight="true" outlineLevel="0" collapsed="false">
      <c r="B16" s="7" t="n">
        <v>1</v>
      </c>
      <c r="C16" s="9" t="str">
        <f aca="false">Quarters!$E$4</f>
        <v>Q1 2022</v>
      </c>
      <c r="D16" s="7" t="s">
        <v>128</v>
      </c>
      <c r="E16" s="7" t="s">
        <v>129</v>
      </c>
      <c r="F16" s="22" t="s">
        <v>218</v>
      </c>
      <c r="G16" s="25" t="n">
        <f aca="false">'LP Capital Calls'!$H$16</f>
        <v>187500</v>
      </c>
      <c r="H16" s="25" t="n">
        <f aca="false">'Distribution Waterfall'!$L$4*'LP Register'!$F$16</f>
        <v>0</v>
      </c>
      <c r="I16" s="25" t="n">
        <f aca="false">'Distribution Waterfall'!$N$4*'LP Register'!$F$16</f>
        <v>0</v>
      </c>
      <c r="J16" s="25" t="n">
        <f aca="false">'Distribution Waterfall'!$T$4*'LP Register'!$F$16</f>
        <v>0</v>
      </c>
      <c r="K16" s="26" t="n">
        <f aca="false">H16+I16+J16</f>
        <v>0</v>
      </c>
      <c r="L16" s="25" t="n">
        <f aca="false">('NAV Rollforward'!$G$4+'NAV Rollforward'!$H$4-'Mgmt Fee Schedule'!$G$4)*'LP Register'!$F$16</f>
        <v>-7500</v>
      </c>
      <c r="M16" s="25" t="n">
        <f aca="false">-('Distribution Waterfall'!$Q$4+'Distribution Waterfall'!$U$4)*'LP Register'!$F$16</f>
        <v>-0</v>
      </c>
      <c r="N16" s="26" t="n">
        <f aca="false">F16+G16-K16+L16+M16</f>
        <v>180000</v>
      </c>
      <c r="O16" s="7" t="str">
        <f aca="false">B16&amp;"|"&amp;D16</f>
        <v>1|LP-13</v>
      </c>
    </row>
    <row r="17" customFormat="false" ht="15" hidden="false" customHeight="true" outlineLevel="0" collapsed="false">
      <c r="B17" s="7" t="n">
        <v>1</v>
      </c>
      <c r="C17" s="9" t="str">
        <f aca="false">Quarters!$E$4</f>
        <v>Q1 2022</v>
      </c>
      <c r="D17" s="7" t="s">
        <v>130</v>
      </c>
      <c r="E17" s="7" t="s">
        <v>131</v>
      </c>
      <c r="F17" s="22" t="s">
        <v>218</v>
      </c>
      <c r="G17" s="25" t="n">
        <f aca="false">'LP Capital Calls'!$H$17</f>
        <v>200000</v>
      </c>
      <c r="H17" s="25" t="n">
        <f aca="false">'Distribution Waterfall'!$L$4*'LP Register'!$F$17</f>
        <v>0</v>
      </c>
      <c r="I17" s="25" t="n">
        <f aca="false">'Distribution Waterfall'!$N$4*'LP Register'!$F$17</f>
        <v>0</v>
      </c>
      <c r="J17" s="25" t="n">
        <f aca="false">'Distribution Waterfall'!$T$4*'LP Register'!$F$17</f>
        <v>0</v>
      </c>
      <c r="K17" s="26" t="n">
        <f aca="false">H17+I17+J17</f>
        <v>0</v>
      </c>
      <c r="L17" s="25" t="n">
        <f aca="false">('NAV Rollforward'!$G$4+'NAV Rollforward'!$H$4-'Mgmt Fee Schedule'!$G$4)*'LP Register'!$F$17</f>
        <v>-8000</v>
      </c>
      <c r="M17" s="25" t="n">
        <f aca="false">-('Distribution Waterfall'!$Q$4+'Distribution Waterfall'!$U$4)*'LP Register'!$F$17</f>
        <v>-0</v>
      </c>
      <c r="N17" s="26" t="n">
        <f aca="false">F17+G17-K17+L17+M17</f>
        <v>192000</v>
      </c>
      <c r="O17" s="7" t="str">
        <f aca="false">B17&amp;"|"&amp;D17</f>
        <v>1|LP-14</v>
      </c>
    </row>
    <row r="18" customFormat="false" ht="15" hidden="false" customHeight="true" outlineLevel="0" collapsed="false">
      <c r="B18" s="7" t="n">
        <v>1</v>
      </c>
      <c r="C18" s="9" t="str">
        <f aca="false">Quarters!$E$4</f>
        <v>Q1 2022</v>
      </c>
      <c r="D18" s="7" t="s">
        <v>132</v>
      </c>
      <c r="E18" s="7" t="s">
        <v>133</v>
      </c>
      <c r="F18" s="22" t="s">
        <v>218</v>
      </c>
      <c r="G18" s="25" t="n">
        <f aca="false">'LP Capital Calls'!$H$18</f>
        <v>200000</v>
      </c>
      <c r="H18" s="25" t="n">
        <f aca="false">'Distribution Waterfall'!$L$4*'LP Register'!$F$18</f>
        <v>0</v>
      </c>
      <c r="I18" s="25" t="n">
        <f aca="false">'Distribution Waterfall'!$N$4*'LP Register'!$F$18</f>
        <v>0</v>
      </c>
      <c r="J18" s="25" t="n">
        <f aca="false">'Distribution Waterfall'!$T$4*'LP Register'!$F$18</f>
        <v>0</v>
      </c>
      <c r="K18" s="26" t="n">
        <f aca="false">H18+I18+J18</f>
        <v>0</v>
      </c>
      <c r="L18" s="25" t="n">
        <f aca="false">('NAV Rollforward'!$G$4+'NAV Rollforward'!$H$4-'Mgmt Fee Schedule'!$G$4)*'LP Register'!$F$18</f>
        <v>-8000</v>
      </c>
      <c r="M18" s="25" t="n">
        <f aca="false">-('Distribution Waterfall'!$Q$4+'Distribution Waterfall'!$U$4)*'LP Register'!$F$18</f>
        <v>-0</v>
      </c>
      <c r="N18" s="26" t="n">
        <f aca="false">F18+G18-K18+L18+M18</f>
        <v>192000</v>
      </c>
      <c r="O18" s="7" t="str">
        <f aca="false">B18&amp;"|"&amp;D18</f>
        <v>1|LP-15</v>
      </c>
    </row>
    <row r="19" customFormat="false" ht="15" hidden="false" customHeight="true" outlineLevel="0" collapsed="false">
      <c r="B19" s="7" t="n">
        <v>2</v>
      </c>
      <c r="C19" s="9" t="str">
        <f aca="false">Quarters!$E$5</f>
        <v>Q2 2022</v>
      </c>
      <c r="D19" s="7" t="s">
        <v>97</v>
      </c>
      <c r="E19" s="7" t="s">
        <v>98</v>
      </c>
      <c r="F19" s="22" t="n">
        <f aca="false">N4</f>
        <v>960000</v>
      </c>
      <c r="G19" s="25" t="n">
        <f aca="false">'LP Capital Calls'!$H$19</f>
        <v>920000</v>
      </c>
      <c r="H19" s="25" t="n">
        <f aca="false">'Distribution Waterfall'!$L$5*'LP Register'!$F$4</f>
        <v>0</v>
      </c>
      <c r="I19" s="25" t="n">
        <f aca="false">'Distribution Waterfall'!$N$5*'LP Register'!$F$4</f>
        <v>0</v>
      </c>
      <c r="J19" s="25" t="n">
        <f aca="false">'Distribution Waterfall'!$T$5*'LP Register'!$F$4</f>
        <v>0</v>
      </c>
      <c r="K19" s="26" t="n">
        <f aca="false">H19+I19+J19</f>
        <v>0</v>
      </c>
      <c r="L19" s="25" t="n">
        <f aca="false">('NAV Rollforward'!$G$5+'NAV Rollforward'!$H$5-'Mgmt Fee Schedule'!$G$5)*'LP Register'!$F$4</f>
        <v>65187.9263999999</v>
      </c>
      <c r="M19" s="25" t="n">
        <f aca="false">-('Distribution Waterfall'!$Q$5+'Distribution Waterfall'!$U$5)*'LP Register'!$F$4</f>
        <v>-0</v>
      </c>
      <c r="N19" s="26" t="n">
        <f aca="false">F19+G19-K19+L19+M19</f>
        <v>1945187.9264</v>
      </c>
      <c r="O19" s="7" t="str">
        <f aca="false">B19&amp;"|"&amp;D19</f>
        <v>2|LP-01</v>
      </c>
    </row>
    <row r="20" customFormat="false" ht="15" hidden="false" customHeight="true" outlineLevel="0" collapsed="false">
      <c r="B20" s="7" t="n">
        <v>2</v>
      </c>
      <c r="C20" s="9" t="str">
        <f aca="false">Quarters!$E$5</f>
        <v>Q2 2022</v>
      </c>
      <c r="D20" s="7" t="s">
        <v>100</v>
      </c>
      <c r="E20" s="7" t="s">
        <v>101</v>
      </c>
      <c r="F20" s="22" t="n">
        <f aca="false">N5</f>
        <v>720000</v>
      </c>
      <c r="G20" s="25" t="n">
        <f aca="false">'LP Capital Calls'!$H$20</f>
        <v>690000</v>
      </c>
      <c r="H20" s="25" t="n">
        <f aca="false">'Distribution Waterfall'!$L$5*'LP Register'!$F$5</f>
        <v>0</v>
      </c>
      <c r="I20" s="25" t="n">
        <f aca="false">'Distribution Waterfall'!$N$5*'LP Register'!$F$5</f>
        <v>0</v>
      </c>
      <c r="J20" s="25" t="n">
        <f aca="false">'Distribution Waterfall'!$T$5*'LP Register'!$F$5</f>
        <v>0</v>
      </c>
      <c r="K20" s="26" t="n">
        <f aca="false">H20+I20+J20</f>
        <v>0</v>
      </c>
      <c r="L20" s="25" t="n">
        <f aca="false">('NAV Rollforward'!$G$5+'NAV Rollforward'!$H$5-'Mgmt Fee Schedule'!$G$5)*'LP Register'!$F$5</f>
        <v>48890.9447999999</v>
      </c>
      <c r="M20" s="25" t="n">
        <f aca="false">-('Distribution Waterfall'!$Q$5+'Distribution Waterfall'!$U$5)*'LP Register'!$F$5</f>
        <v>-0</v>
      </c>
      <c r="N20" s="26" t="n">
        <f aca="false">F20+G20-K20+L20+M20</f>
        <v>1458890.9448</v>
      </c>
      <c r="O20" s="7" t="str">
        <f aca="false">B20&amp;"|"&amp;D20</f>
        <v>2|LP-02</v>
      </c>
    </row>
    <row r="21" customFormat="false" ht="15" hidden="false" customHeight="true" outlineLevel="0" collapsed="false">
      <c r="B21" s="7" t="n">
        <v>2</v>
      </c>
      <c r="C21" s="9" t="str">
        <f aca="false">Quarters!$E$5</f>
        <v>Q2 2022</v>
      </c>
      <c r="D21" s="7" t="s">
        <v>103</v>
      </c>
      <c r="E21" s="7" t="s">
        <v>104</v>
      </c>
      <c r="F21" s="22" t="n">
        <f aca="false">N6</f>
        <v>660000</v>
      </c>
      <c r="G21" s="25" t="n">
        <f aca="false">'LP Capital Calls'!$H$21</f>
        <v>632500</v>
      </c>
      <c r="H21" s="25" t="n">
        <f aca="false">'Distribution Waterfall'!$L$5*'LP Register'!$F$6</f>
        <v>0</v>
      </c>
      <c r="I21" s="25" t="n">
        <f aca="false">'Distribution Waterfall'!$N$5*'LP Register'!$F$6</f>
        <v>0</v>
      </c>
      <c r="J21" s="25" t="n">
        <f aca="false">'Distribution Waterfall'!$T$5*'LP Register'!$F$6</f>
        <v>0</v>
      </c>
      <c r="K21" s="26" t="n">
        <f aca="false">H21+I21+J21</f>
        <v>0</v>
      </c>
      <c r="L21" s="25" t="n">
        <f aca="false">('NAV Rollforward'!$G$5+'NAV Rollforward'!$H$5-'Mgmt Fee Schedule'!$G$5)*'LP Register'!$F$6</f>
        <v>44816.6993999999</v>
      </c>
      <c r="M21" s="25" t="n">
        <f aca="false">-('Distribution Waterfall'!$Q$5+'Distribution Waterfall'!$U$5)*'LP Register'!$F$6</f>
        <v>-0</v>
      </c>
      <c r="N21" s="26" t="n">
        <f aca="false">F21+G21-K21+L21+M21</f>
        <v>1337316.6994</v>
      </c>
      <c r="O21" s="7" t="str">
        <f aca="false">B21&amp;"|"&amp;D21</f>
        <v>2|LP-03</v>
      </c>
    </row>
    <row r="22" customFormat="false" ht="15" hidden="false" customHeight="true" outlineLevel="0" collapsed="false">
      <c r="B22" s="7" t="n">
        <v>2</v>
      </c>
      <c r="C22" s="9" t="str">
        <f aca="false">Quarters!$E$5</f>
        <v>Q2 2022</v>
      </c>
      <c r="D22" s="7" t="s">
        <v>106</v>
      </c>
      <c r="E22" s="7" t="s">
        <v>107</v>
      </c>
      <c r="F22" s="22" t="n">
        <f aca="false">N7</f>
        <v>600000</v>
      </c>
      <c r="G22" s="25" t="n">
        <f aca="false">'LP Capital Calls'!$H$22</f>
        <v>575000</v>
      </c>
      <c r="H22" s="25" t="n">
        <f aca="false">'Distribution Waterfall'!$L$5*'LP Register'!$F$7</f>
        <v>0</v>
      </c>
      <c r="I22" s="25" t="n">
        <f aca="false">'Distribution Waterfall'!$N$5*'LP Register'!$F$7</f>
        <v>0</v>
      </c>
      <c r="J22" s="25" t="n">
        <f aca="false">'Distribution Waterfall'!$T$5*'LP Register'!$F$7</f>
        <v>0</v>
      </c>
      <c r="K22" s="26" t="n">
        <f aca="false">H22+I22+J22</f>
        <v>0</v>
      </c>
      <c r="L22" s="25" t="n">
        <f aca="false">('NAV Rollforward'!$G$5+'NAV Rollforward'!$H$5-'Mgmt Fee Schedule'!$G$5)*'LP Register'!$F$7</f>
        <v>40742.4539999999</v>
      </c>
      <c r="M22" s="25" t="n">
        <f aca="false">-('Distribution Waterfall'!$Q$5+'Distribution Waterfall'!$U$5)*'LP Register'!$F$7</f>
        <v>-0</v>
      </c>
      <c r="N22" s="26" t="n">
        <f aca="false">F22+G22-K22+L22+M22</f>
        <v>1215742.454</v>
      </c>
      <c r="O22" s="7" t="str">
        <f aca="false">B22&amp;"|"&amp;D22</f>
        <v>2|LP-04</v>
      </c>
    </row>
    <row r="23" customFormat="false" ht="15" hidden="false" customHeight="true" outlineLevel="0" collapsed="false">
      <c r="B23" s="7" t="n">
        <v>2</v>
      </c>
      <c r="C23" s="9" t="str">
        <f aca="false">Quarters!$E$5</f>
        <v>Q2 2022</v>
      </c>
      <c r="D23" s="7" t="s">
        <v>109</v>
      </c>
      <c r="E23" s="7" t="s">
        <v>110</v>
      </c>
      <c r="F23" s="22" t="n">
        <f aca="false">N8</f>
        <v>480000</v>
      </c>
      <c r="G23" s="25" t="n">
        <f aca="false">'LP Capital Calls'!$H$23</f>
        <v>460000</v>
      </c>
      <c r="H23" s="25" t="n">
        <f aca="false">'Distribution Waterfall'!$L$5*'LP Register'!$F$8</f>
        <v>0</v>
      </c>
      <c r="I23" s="25" t="n">
        <f aca="false">'Distribution Waterfall'!$N$5*'LP Register'!$F$8</f>
        <v>0</v>
      </c>
      <c r="J23" s="25" t="n">
        <f aca="false">'Distribution Waterfall'!$T$5*'LP Register'!$F$8</f>
        <v>0</v>
      </c>
      <c r="K23" s="26" t="n">
        <f aca="false">H23+I23+J23</f>
        <v>0</v>
      </c>
      <c r="L23" s="25" t="n">
        <f aca="false">('NAV Rollforward'!$G$5+'NAV Rollforward'!$H$5-'Mgmt Fee Schedule'!$G$5)*'LP Register'!$F$8</f>
        <v>32593.9631999999</v>
      </c>
      <c r="M23" s="25" t="n">
        <f aca="false">-('Distribution Waterfall'!$Q$5+'Distribution Waterfall'!$U$5)*'LP Register'!$F$8</f>
        <v>-0</v>
      </c>
      <c r="N23" s="26" t="n">
        <f aca="false">F23+G23-K23+L23+M23</f>
        <v>972593.9632</v>
      </c>
      <c r="O23" s="7" t="str">
        <f aca="false">B23&amp;"|"&amp;D23</f>
        <v>2|LP-05</v>
      </c>
    </row>
    <row r="24" customFormat="false" ht="15" hidden="false" customHeight="true" outlineLevel="0" collapsed="false">
      <c r="B24" s="7" t="n">
        <v>2</v>
      </c>
      <c r="C24" s="9" t="str">
        <f aca="false">Quarters!$E$5</f>
        <v>Q2 2022</v>
      </c>
      <c r="D24" s="7" t="s">
        <v>112</v>
      </c>
      <c r="E24" s="7" t="s">
        <v>113</v>
      </c>
      <c r="F24" s="22" t="n">
        <f aca="false">N9</f>
        <v>480000</v>
      </c>
      <c r="G24" s="25" t="n">
        <f aca="false">'LP Capital Calls'!$H$24</f>
        <v>460000</v>
      </c>
      <c r="H24" s="25" t="n">
        <f aca="false">'Distribution Waterfall'!$L$5*'LP Register'!$F$9</f>
        <v>0</v>
      </c>
      <c r="I24" s="25" t="n">
        <f aca="false">'Distribution Waterfall'!$N$5*'LP Register'!$F$9</f>
        <v>0</v>
      </c>
      <c r="J24" s="25" t="n">
        <f aca="false">'Distribution Waterfall'!$T$5*'LP Register'!$F$9</f>
        <v>0</v>
      </c>
      <c r="K24" s="26" t="n">
        <f aca="false">H24+I24+J24</f>
        <v>0</v>
      </c>
      <c r="L24" s="25" t="n">
        <f aca="false">('NAV Rollforward'!$G$5+'NAV Rollforward'!$H$5-'Mgmt Fee Schedule'!$G$5)*'LP Register'!$F$9</f>
        <v>32593.9631999999</v>
      </c>
      <c r="M24" s="25" t="n">
        <f aca="false">-('Distribution Waterfall'!$Q$5+'Distribution Waterfall'!$U$5)*'LP Register'!$F$9</f>
        <v>-0</v>
      </c>
      <c r="N24" s="26" t="n">
        <f aca="false">F24+G24-K24+L24+M24</f>
        <v>972593.9632</v>
      </c>
      <c r="O24" s="7" t="str">
        <f aca="false">B24&amp;"|"&amp;D24</f>
        <v>2|LP-06</v>
      </c>
    </row>
    <row r="25" customFormat="false" ht="15" hidden="false" customHeight="true" outlineLevel="0" collapsed="false">
      <c r="B25" s="7" t="n">
        <v>2</v>
      </c>
      <c r="C25" s="9" t="str">
        <f aca="false">Quarters!$E$5</f>
        <v>Q2 2022</v>
      </c>
      <c r="D25" s="7" t="s">
        <v>115</v>
      </c>
      <c r="E25" s="7" t="s">
        <v>116</v>
      </c>
      <c r="F25" s="22" t="n">
        <f aca="false">N10</f>
        <v>360000</v>
      </c>
      <c r="G25" s="25" t="n">
        <f aca="false">'LP Capital Calls'!$H$25</f>
        <v>345000</v>
      </c>
      <c r="H25" s="25" t="n">
        <f aca="false">'Distribution Waterfall'!$L$5*'LP Register'!$F$10</f>
        <v>0</v>
      </c>
      <c r="I25" s="25" t="n">
        <f aca="false">'Distribution Waterfall'!$N$5*'LP Register'!$F$10</f>
        <v>0</v>
      </c>
      <c r="J25" s="25" t="n">
        <f aca="false">'Distribution Waterfall'!$T$5*'LP Register'!$F$10</f>
        <v>0</v>
      </c>
      <c r="K25" s="26" t="n">
        <f aca="false">H25+I25+J25</f>
        <v>0</v>
      </c>
      <c r="L25" s="25" t="n">
        <f aca="false">('NAV Rollforward'!$G$5+'NAV Rollforward'!$H$5-'Mgmt Fee Schedule'!$G$5)*'LP Register'!$F$10</f>
        <v>24445.4723999999</v>
      </c>
      <c r="M25" s="25" t="n">
        <f aca="false">-('Distribution Waterfall'!$Q$5+'Distribution Waterfall'!$U$5)*'LP Register'!$F$10</f>
        <v>-0</v>
      </c>
      <c r="N25" s="26" t="n">
        <f aca="false">F25+G25-K25+L25+M25</f>
        <v>729445.4724</v>
      </c>
      <c r="O25" s="7" t="str">
        <f aca="false">B25&amp;"|"&amp;D25</f>
        <v>2|LP-07</v>
      </c>
    </row>
    <row r="26" customFormat="false" ht="15" hidden="false" customHeight="true" outlineLevel="0" collapsed="false">
      <c r="B26" s="7" t="n">
        <v>2</v>
      </c>
      <c r="C26" s="9" t="str">
        <f aca="false">Quarters!$E$5</f>
        <v>Q2 2022</v>
      </c>
      <c r="D26" s="7" t="s">
        <v>117</v>
      </c>
      <c r="E26" s="7" t="s">
        <v>118</v>
      </c>
      <c r="F26" s="22" t="n">
        <f aca="false">N11</f>
        <v>300000</v>
      </c>
      <c r="G26" s="25" t="n">
        <f aca="false">'LP Capital Calls'!$H$26</f>
        <v>287500</v>
      </c>
      <c r="H26" s="25" t="n">
        <f aca="false">'Distribution Waterfall'!$L$5*'LP Register'!$F$11</f>
        <v>0</v>
      </c>
      <c r="I26" s="25" t="n">
        <f aca="false">'Distribution Waterfall'!$N$5*'LP Register'!$F$11</f>
        <v>0</v>
      </c>
      <c r="J26" s="25" t="n">
        <f aca="false">'Distribution Waterfall'!$T$5*'LP Register'!$F$11</f>
        <v>0</v>
      </c>
      <c r="K26" s="26" t="n">
        <f aca="false">H26+I26+J26</f>
        <v>0</v>
      </c>
      <c r="L26" s="25" t="n">
        <f aca="false">('NAV Rollforward'!$G$5+'NAV Rollforward'!$H$5-'Mgmt Fee Schedule'!$G$5)*'LP Register'!$F$11</f>
        <v>20371.227</v>
      </c>
      <c r="M26" s="25" t="n">
        <f aca="false">-('Distribution Waterfall'!$Q$5+'Distribution Waterfall'!$U$5)*'LP Register'!$F$11</f>
        <v>-0</v>
      </c>
      <c r="N26" s="26" t="n">
        <f aca="false">F26+G26-K26+L26+M26</f>
        <v>607871.227</v>
      </c>
      <c r="O26" s="7" t="str">
        <f aca="false">B26&amp;"|"&amp;D26</f>
        <v>2|LP-08</v>
      </c>
    </row>
    <row r="27" customFormat="false" ht="15" hidden="false" customHeight="true" outlineLevel="0" collapsed="false">
      <c r="B27" s="7" t="n">
        <v>2</v>
      </c>
      <c r="C27" s="9" t="str">
        <f aca="false">Quarters!$E$5</f>
        <v>Q2 2022</v>
      </c>
      <c r="D27" s="7" t="s">
        <v>119</v>
      </c>
      <c r="E27" s="7" t="s">
        <v>120</v>
      </c>
      <c r="F27" s="22" t="n">
        <f aca="false">N12</f>
        <v>240000</v>
      </c>
      <c r="G27" s="25" t="n">
        <f aca="false">'LP Capital Calls'!$H$27</f>
        <v>230000</v>
      </c>
      <c r="H27" s="25" t="n">
        <f aca="false">'Distribution Waterfall'!$L$5*'LP Register'!$F$12</f>
        <v>0</v>
      </c>
      <c r="I27" s="25" t="n">
        <f aca="false">'Distribution Waterfall'!$N$5*'LP Register'!$F$12</f>
        <v>0</v>
      </c>
      <c r="J27" s="25" t="n">
        <f aca="false">'Distribution Waterfall'!$T$5*'LP Register'!$F$12</f>
        <v>0</v>
      </c>
      <c r="K27" s="26" t="n">
        <f aca="false">H27+I27+J27</f>
        <v>0</v>
      </c>
      <c r="L27" s="25" t="n">
        <f aca="false">('NAV Rollforward'!$G$5+'NAV Rollforward'!$H$5-'Mgmt Fee Schedule'!$G$5)*'LP Register'!$F$12</f>
        <v>16296.9816</v>
      </c>
      <c r="M27" s="25" t="n">
        <f aca="false">-('Distribution Waterfall'!$Q$5+'Distribution Waterfall'!$U$5)*'LP Register'!$F$12</f>
        <v>-0</v>
      </c>
      <c r="N27" s="26" t="n">
        <f aca="false">F27+G27-K27+L27+M27</f>
        <v>486296.9816</v>
      </c>
      <c r="O27" s="7" t="str">
        <f aca="false">B27&amp;"|"&amp;D27</f>
        <v>2|LP-09</v>
      </c>
    </row>
    <row r="28" customFormat="false" ht="15" hidden="false" customHeight="true" outlineLevel="0" collapsed="false">
      <c r="B28" s="7" t="n">
        <v>2</v>
      </c>
      <c r="C28" s="9" t="str">
        <f aca="false">Quarters!$E$5</f>
        <v>Q2 2022</v>
      </c>
      <c r="D28" s="7" t="s">
        <v>121</v>
      </c>
      <c r="E28" s="7" t="s">
        <v>122</v>
      </c>
      <c r="F28" s="22" t="n">
        <f aca="false">N13</f>
        <v>240000</v>
      </c>
      <c r="G28" s="25" t="n">
        <f aca="false">'LP Capital Calls'!$H$28</f>
        <v>230000</v>
      </c>
      <c r="H28" s="25" t="n">
        <f aca="false">'Distribution Waterfall'!$L$5*'LP Register'!$F$13</f>
        <v>0</v>
      </c>
      <c r="I28" s="25" t="n">
        <f aca="false">'Distribution Waterfall'!$N$5*'LP Register'!$F$13</f>
        <v>0</v>
      </c>
      <c r="J28" s="25" t="n">
        <f aca="false">'Distribution Waterfall'!$T$5*'LP Register'!$F$13</f>
        <v>0</v>
      </c>
      <c r="K28" s="26" t="n">
        <f aca="false">H28+I28+J28</f>
        <v>0</v>
      </c>
      <c r="L28" s="25" t="n">
        <f aca="false">('NAV Rollforward'!$G$5+'NAV Rollforward'!$H$5-'Mgmt Fee Schedule'!$G$5)*'LP Register'!$F$13</f>
        <v>16296.9816</v>
      </c>
      <c r="M28" s="25" t="n">
        <f aca="false">-('Distribution Waterfall'!$Q$5+'Distribution Waterfall'!$U$5)*'LP Register'!$F$13</f>
        <v>-0</v>
      </c>
      <c r="N28" s="26" t="n">
        <f aca="false">F28+G28-K28+L28+M28</f>
        <v>486296.9816</v>
      </c>
      <c r="O28" s="7" t="str">
        <f aca="false">B28&amp;"|"&amp;D28</f>
        <v>2|LP-10</v>
      </c>
    </row>
    <row r="29" customFormat="false" ht="15" hidden="false" customHeight="true" outlineLevel="0" collapsed="false">
      <c r="B29" s="7" t="n">
        <v>2</v>
      </c>
      <c r="C29" s="9" t="str">
        <f aca="false">Quarters!$E$5</f>
        <v>Q2 2022</v>
      </c>
      <c r="D29" s="7" t="s">
        <v>124</v>
      </c>
      <c r="E29" s="7" t="s">
        <v>125</v>
      </c>
      <c r="F29" s="22" t="n">
        <f aca="false">N14</f>
        <v>216000</v>
      </c>
      <c r="G29" s="25" t="n">
        <f aca="false">'LP Capital Calls'!$H$29</f>
        <v>207000</v>
      </c>
      <c r="H29" s="25" t="n">
        <f aca="false">'Distribution Waterfall'!$L$5*'LP Register'!$F$14</f>
        <v>0</v>
      </c>
      <c r="I29" s="25" t="n">
        <f aca="false">'Distribution Waterfall'!$N$5*'LP Register'!$F$14</f>
        <v>0</v>
      </c>
      <c r="J29" s="25" t="n">
        <f aca="false">'Distribution Waterfall'!$T$5*'LP Register'!$F$14</f>
        <v>0</v>
      </c>
      <c r="K29" s="26" t="n">
        <f aca="false">H29+I29+J29</f>
        <v>0</v>
      </c>
      <c r="L29" s="25" t="n">
        <f aca="false">('NAV Rollforward'!$G$5+'NAV Rollforward'!$H$5-'Mgmt Fee Schedule'!$G$5)*'LP Register'!$F$14</f>
        <v>14667.28344</v>
      </c>
      <c r="M29" s="25" t="n">
        <f aca="false">-('Distribution Waterfall'!$Q$5+'Distribution Waterfall'!$U$5)*'LP Register'!$F$14</f>
        <v>-0</v>
      </c>
      <c r="N29" s="26" t="n">
        <f aca="false">F29+G29-K29+L29+M29</f>
        <v>437667.28344</v>
      </c>
      <c r="O29" s="7" t="str">
        <f aca="false">B29&amp;"|"&amp;D29</f>
        <v>2|LP-11</v>
      </c>
    </row>
    <row r="30" customFormat="false" ht="15" hidden="false" customHeight="true" outlineLevel="0" collapsed="false">
      <c r="B30" s="7" t="n">
        <v>2</v>
      </c>
      <c r="C30" s="9" t="str">
        <f aca="false">Quarters!$E$5</f>
        <v>Q2 2022</v>
      </c>
      <c r="D30" s="7" t="s">
        <v>126</v>
      </c>
      <c r="E30" s="7" t="s">
        <v>127</v>
      </c>
      <c r="F30" s="22" t="n">
        <f aca="false">N15</f>
        <v>180000</v>
      </c>
      <c r="G30" s="25" t="n">
        <f aca="false">'LP Capital Calls'!$H$30</f>
        <v>172500</v>
      </c>
      <c r="H30" s="25" t="n">
        <f aca="false">'Distribution Waterfall'!$L$5*'LP Register'!$F$15</f>
        <v>0</v>
      </c>
      <c r="I30" s="25" t="n">
        <f aca="false">'Distribution Waterfall'!$N$5*'LP Register'!$F$15</f>
        <v>0</v>
      </c>
      <c r="J30" s="25" t="n">
        <f aca="false">'Distribution Waterfall'!$T$5*'LP Register'!$F$15</f>
        <v>0</v>
      </c>
      <c r="K30" s="26" t="n">
        <f aca="false">H30+I30+J30</f>
        <v>0</v>
      </c>
      <c r="L30" s="25" t="n">
        <f aca="false">('NAV Rollforward'!$G$5+'NAV Rollforward'!$H$5-'Mgmt Fee Schedule'!$G$5)*'LP Register'!$F$15</f>
        <v>12222.7362</v>
      </c>
      <c r="M30" s="25" t="n">
        <f aca="false">-('Distribution Waterfall'!$Q$5+'Distribution Waterfall'!$U$5)*'LP Register'!$F$15</f>
        <v>-0</v>
      </c>
      <c r="N30" s="26" t="n">
        <f aca="false">F30+G30-K30+L30+M30</f>
        <v>364722.7362</v>
      </c>
      <c r="O30" s="7" t="str">
        <f aca="false">B30&amp;"|"&amp;D30</f>
        <v>2|LP-12</v>
      </c>
    </row>
    <row r="31" customFormat="false" ht="15" hidden="false" customHeight="true" outlineLevel="0" collapsed="false">
      <c r="B31" s="7" t="n">
        <v>2</v>
      </c>
      <c r="C31" s="9" t="str">
        <f aca="false">Quarters!$E$5</f>
        <v>Q2 2022</v>
      </c>
      <c r="D31" s="7" t="s">
        <v>128</v>
      </c>
      <c r="E31" s="7" t="s">
        <v>129</v>
      </c>
      <c r="F31" s="22" t="n">
        <f aca="false">N16</f>
        <v>180000</v>
      </c>
      <c r="G31" s="25" t="n">
        <f aca="false">'LP Capital Calls'!$H$31</f>
        <v>172500</v>
      </c>
      <c r="H31" s="25" t="n">
        <f aca="false">'Distribution Waterfall'!$L$5*'LP Register'!$F$16</f>
        <v>0</v>
      </c>
      <c r="I31" s="25" t="n">
        <f aca="false">'Distribution Waterfall'!$N$5*'LP Register'!$F$16</f>
        <v>0</v>
      </c>
      <c r="J31" s="25" t="n">
        <f aca="false">'Distribution Waterfall'!$T$5*'LP Register'!$F$16</f>
        <v>0</v>
      </c>
      <c r="K31" s="26" t="n">
        <f aca="false">H31+I31+J31</f>
        <v>0</v>
      </c>
      <c r="L31" s="25" t="n">
        <f aca="false">('NAV Rollforward'!$G$5+'NAV Rollforward'!$H$5-'Mgmt Fee Schedule'!$G$5)*'LP Register'!$F$16</f>
        <v>12222.7362</v>
      </c>
      <c r="M31" s="25" t="n">
        <f aca="false">-('Distribution Waterfall'!$Q$5+'Distribution Waterfall'!$U$5)*'LP Register'!$F$16</f>
        <v>-0</v>
      </c>
      <c r="N31" s="26" t="n">
        <f aca="false">F31+G31-K31+L31+M31</f>
        <v>364722.7362</v>
      </c>
      <c r="O31" s="7" t="str">
        <f aca="false">B31&amp;"|"&amp;D31</f>
        <v>2|LP-13</v>
      </c>
    </row>
    <row r="32" customFormat="false" ht="15" hidden="false" customHeight="true" outlineLevel="0" collapsed="false">
      <c r="B32" s="7" t="n">
        <v>2</v>
      </c>
      <c r="C32" s="9" t="str">
        <f aca="false">Quarters!$E$5</f>
        <v>Q2 2022</v>
      </c>
      <c r="D32" s="7" t="s">
        <v>130</v>
      </c>
      <c r="E32" s="7" t="s">
        <v>131</v>
      </c>
      <c r="F32" s="22" t="n">
        <f aca="false">N17</f>
        <v>192000</v>
      </c>
      <c r="G32" s="25" t="n">
        <f aca="false">'LP Capital Calls'!$H$32</f>
        <v>184000</v>
      </c>
      <c r="H32" s="25" t="n">
        <f aca="false">'Distribution Waterfall'!$L$5*'LP Register'!$F$17</f>
        <v>0</v>
      </c>
      <c r="I32" s="25" t="n">
        <f aca="false">'Distribution Waterfall'!$N$5*'LP Register'!$F$17</f>
        <v>0</v>
      </c>
      <c r="J32" s="25" t="n">
        <f aca="false">'Distribution Waterfall'!$T$5*'LP Register'!$F$17</f>
        <v>0</v>
      </c>
      <c r="K32" s="26" t="n">
        <f aca="false">H32+I32+J32</f>
        <v>0</v>
      </c>
      <c r="L32" s="25" t="n">
        <f aca="false">('NAV Rollforward'!$G$5+'NAV Rollforward'!$H$5-'Mgmt Fee Schedule'!$G$5)*'LP Register'!$F$17</f>
        <v>13037.58528</v>
      </c>
      <c r="M32" s="25" t="n">
        <f aca="false">-('Distribution Waterfall'!$Q$5+'Distribution Waterfall'!$U$5)*'LP Register'!$F$17</f>
        <v>-0</v>
      </c>
      <c r="N32" s="26" t="n">
        <f aca="false">F32+G32-K32+L32+M32</f>
        <v>389037.58528</v>
      </c>
      <c r="O32" s="7" t="str">
        <f aca="false">B32&amp;"|"&amp;D32</f>
        <v>2|LP-14</v>
      </c>
    </row>
    <row r="33" customFormat="false" ht="15" hidden="false" customHeight="true" outlineLevel="0" collapsed="false">
      <c r="B33" s="7" t="n">
        <v>2</v>
      </c>
      <c r="C33" s="9" t="str">
        <f aca="false">Quarters!$E$5</f>
        <v>Q2 2022</v>
      </c>
      <c r="D33" s="7" t="s">
        <v>132</v>
      </c>
      <c r="E33" s="7" t="s">
        <v>133</v>
      </c>
      <c r="F33" s="22" t="n">
        <f aca="false">N18</f>
        <v>192000</v>
      </c>
      <c r="G33" s="25" t="n">
        <f aca="false">'LP Capital Calls'!$H$33</f>
        <v>184000</v>
      </c>
      <c r="H33" s="25" t="n">
        <f aca="false">'Distribution Waterfall'!$L$5*'LP Register'!$F$18</f>
        <v>0</v>
      </c>
      <c r="I33" s="25" t="n">
        <f aca="false">'Distribution Waterfall'!$N$5*'LP Register'!$F$18</f>
        <v>0</v>
      </c>
      <c r="J33" s="25" t="n">
        <f aca="false">'Distribution Waterfall'!$T$5*'LP Register'!$F$18</f>
        <v>0</v>
      </c>
      <c r="K33" s="26" t="n">
        <f aca="false">H33+I33+J33</f>
        <v>0</v>
      </c>
      <c r="L33" s="25" t="n">
        <f aca="false">('NAV Rollforward'!$G$5+'NAV Rollforward'!$H$5-'Mgmt Fee Schedule'!$G$5)*'LP Register'!$F$18</f>
        <v>13037.58528</v>
      </c>
      <c r="M33" s="25" t="n">
        <f aca="false">-('Distribution Waterfall'!$Q$5+'Distribution Waterfall'!$U$5)*'LP Register'!$F$18</f>
        <v>-0</v>
      </c>
      <c r="N33" s="26" t="n">
        <f aca="false">F33+G33-K33+L33+M33</f>
        <v>389037.58528</v>
      </c>
      <c r="O33" s="7" t="str">
        <f aca="false">B33&amp;"|"&amp;D33</f>
        <v>2|LP-15</v>
      </c>
    </row>
    <row r="34" customFormat="false" ht="15" hidden="false" customHeight="true" outlineLevel="0" collapsed="false">
      <c r="B34" s="7" t="n">
        <v>3</v>
      </c>
      <c r="C34" s="9" t="str">
        <f aca="false">Quarters!$E$6</f>
        <v>Q3 2022</v>
      </c>
      <c r="D34" s="7" t="s">
        <v>97</v>
      </c>
      <c r="E34" s="7" t="s">
        <v>98</v>
      </c>
      <c r="F34" s="22" t="n">
        <f aca="false">N19</f>
        <v>1945187.9264</v>
      </c>
      <c r="G34" s="25" t="n">
        <f aca="false">'LP Capital Calls'!$H$34</f>
        <v>760000</v>
      </c>
      <c r="H34" s="25" t="n">
        <f aca="false">'Distribution Waterfall'!$L$6*'LP Register'!$F$4</f>
        <v>0</v>
      </c>
      <c r="I34" s="25" t="n">
        <f aca="false">'Distribution Waterfall'!$N$6*'LP Register'!$F$4</f>
        <v>0</v>
      </c>
      <c r="J34" s="25" t="n">
        <f aca="false">'Distribution Waterfall'!$T$6*'LP Register'!$F$4</f>
        <v>0</v>
      </c>
      <c r="K34" s="26" t="n">
        <f aca="false">H34+I34+J34</f>
        <v>0</v>
      </c>
      <c r="L34" s="25" t="n">
        <f aca="false">('NAV Rollforward'!$G$6+'NAV Rollforward'!$H$6-'Mgmt Fee Schedule'!$G$6)*'LP Register'!$F$4</f>
        <v>103445.3392</v>
      </c>
      <c r="M34" s="25" t="n">
        <f aca="false">-('Distribution Waterfall'!$Q$6+'Distribution Waterfall'!$U$6)*'LP Register'!$F$4</f>
        <v>-0</v>
      </c>
      <c r="N34" s="26" t="n">
        <f aca="false">F34+G34-K34+L34+M34</f>
        <v>2808633.2656</v>
      </c>
      <c r="O34" s="7" t="str">
        <f aca="false">B34&amp;"|"&amp;D34</f>
        <v>3|LP-01</v>
      </c>
    </row>
    <row r="35" customFormat="false" ht="15" hidden="false" customHeight="true" outlineLevel="0" collapsed="false">
      <c r="B35" s="7" t="n">
        <v>3</v>
      </c>
      <c r="C35" s="9" t="str">
        <f aca="false">Quarters!$E$6</f>
        <v>Q3 2022</v>
      </c>
      <c r="D35" s="7" t="s">
        <v>100</v>
      </c>
      <c r="E35" s="7" t="s">
        <v>101</v>
      </c>
      <c r="F35" s="22" t="n">
        <f aca="false">N20</f>
        <v>1458890.9448</v>
      </c>
      <c r="G35" s="25" t="n">
        <f aca="false">'LP Capital Calls'!$H$35</f>
        <v>570000</v>
      </c>
      <c r="H35" s="25" t="n">
        <f aca="false">'Distribution Waterfall'!$L$6*'LP Register'!$F$5</f>
        <v>0</v>
      </c>
      <c r="I35" s="25" t="n">
        <f aca="false">'Distribution Waterfall'!$N$6*'LP Register'!$F$5</f>
        <v>0</v>
      </c>
      <c r="J35" s="25" t="n">
        <f aca="false">'Distribution Waterfall'!$T$6*'LP Register'!$F$5</f>
        <v>0</v>
      </c>
      <c r="K35" s="26" t="n">
        <f aca="false">H35+I35+J35</f>
        <v>0</v>
      </c>
      <c r="L35" s="25" t="n">
        <f aca="false">('NAV Rollforward'!$G$6+'NAV Rollforward'!$H$6-'Mgmt Fee Schedule'!$G$6)*'LP Register'!$F$5</f>
        <v>77584.0044000001</v>
      </c>
      <c r="M35" s="25" t="n">
        <f aca="false">-('Distribution Waterfall'!$Q$6+'Distribution Waterfall'!$U$6)*'LP Register'!$F$5</f>
        <v>-0</v>
      </c>
      <c r="N35" s="26" t="n">
        <f aca="false">F35+G35-K35+L35+M35</f>
        <v>2106474.9492</v>
      </c>
      <c r="O35" s="7" t="str">
        <f aca="false">B35&amp;"|"&amp;D35</f>
        <v>3|LP-02</v>
      </c>
    </row>
    <row r="36" customFormat="false" ht="15" hidden="false" customHeight="true" outlineLevel="0" collapsed="false">
      <c r="B36" s="7" t="n">
        <v>3</v>
      </c>
      <c r="C36" s="9" t="str">
        <f aca="false">Quarters!$E$6</f>
        <v>Q3 2022</v>
      </c>
      <c r="D36" s="7" t="s">
        <v>103</v>
      </c>
      <c r="E36" s="7" t="s">
        <v>104</v>
      </c>
      <c r="F36" s="22" t="n">
        <f aca="false">N21</f>
        <v>1337316.6994</v>
      </c>
      <c r="G36" s="25" t="n">
        <f aca="false">'LP Capital Calls'!$H$36</f>
        <v>522500</v>
      </c>
      <c r="H36" s="25" t="n">
        <f aca="false">'Distribution Waterfall'!$L$6*'LP Register'!$F$6</f>
        <v>0</v>
      </c>
      <c r="I36" s="25" t="n">
        <f aca="false">'Distribution Waterfall'!$N$6*'LP Register'!$F$6</f>
        <v>0</v>
      </c>
      <c r="J36" s="25" t="n">
        <f aca="false">'Distribution Waterfall'!$T$6*'LP Register'!$F$6</f>
        <v>0</v>
      </c>
      <c r="K36" s="26" t="n">
        <f aca="false">H36+I36+J36</f>
        <v>0</v>
      </c>
      <c r="L36" s="25" t="n">
        <f aca="false">('NAV Rollforward'!$G$6+'NAV Rollforward'!$H$6-'Mgmt Fee Schedule'!$G$6)*'LP Register'!$F$6</f>
        <v>71118.6707000001</v>
      </c>
      <c r="M36" s="25" t="n">
        <f aca="false">-('Distribution Waterfall'!$Q$6+'Distribution Waterfall'!$U$6)*'LP Register'!$F$6</f>
        <v>-0</v>
      </c>
      <c r="N36" s="26" t="n">
        <f aca="false">F36+G36-K36+L36+M36</f>
        <v>1930935.3701</v>
      </c>
      <c r="O36" s="7" t="str">
        <f aca="false">B36&amp;"|"&amp;D36</f>
        <v>3|LP-03</v>
      </c>
    </row>
    <row r="37" customFormat="false" ht="15" hidden="false" customHeight="true" outlineLevel="0" collapsed="false">
      <c r="B37" s="7" t="n">
        <v>3</v>
      </c>
      <c r="C37" s="9" t="str">
        <f aca="false">Quarters!$E$6</f>
        <v>Q3 2022</v>
      </c>
      <c r="D37" s="7" t="s">
        <v>106</v>
      </c>
      <c r="E37" s="7" t="s">
        <v>107</v>
      </c>
      <c r="F37" s="22" t="n">
        <f aca="false">N22</f>
        <v>1215742.454</v>
      </c>
      <c r="G37" s="25" t="n">
        <f aca="false">'LP Capital Calls'!$H$37</f>
        <v>475000</v>
      </c>
      <c r="H37" s="25" t="n">
        <f aca="false">'Distribution Waterfall'!$L$6*'LP Register'!$F$7</f>
        <v>0</v>
      </c>
      <c r="I37" s="25" t="n">
        <f aca="false">'Distribution Waterfall'!$N$6*'LP Register'!$F$7</f>
        <v>0</v>
      </c>
      <c r="J37" s="25" t="n">
        <f aca="false">'Distribution Waterfall'!$T$6*'LP Register'!$F$7</f>
        <v>0</v>
      </c>
      <c r="K37" s="26" t="n">
        <f aca="false">H37+I37+J37</f>
        <v>0</v>
      </c>
      <c r="L37" s="25" t="n">
        <f aca="false">('NAV Rollforward'!$G$6+'NAV Rollforward'!$H$6-'Mgmt Fee Schedule'!$G$6)*'LP Register'!$F$7</f>
        <v>64653.3370000001</v>
      </c>
      <c r="M37" s="25" t="n">
        <f aca="false">-('Distribution Waterfall'!$Q$6+'Distribution Waterfall'!$U$6)*'LP Register'!$F$7</f>
        <v>-0</v>
      </c>
      <c r="N37" s="26" t="n">
        <f aca="false">F37+G37-K37+L37+M37</f>
        <v>1755395.791</v>
      </c>
      <c r="O37" s="7" t="str">
        <f aca="false">B37&amp;"|"&amp;D37</f>
        <v>3|LP-04</v>
      </c>
    </row>
    <row r="38" customFormat="false" ht="15" hidden="false" customHeight="true" outlineLevel="0" collapsed="false">
      <c r="B38" s="7" t="n">
        <v>3</v>
      </c>
      <c r="C38" s="9" t="str">
        <f aca="false">Quarters!$E$6</f>
        <v>Q3 2022</v>
      </c>
      <c r="D38" s="7" t="s">
        <v>109</v>
      </c>
      <c r="E38" s="7" t="s">
        <v>110</v>
      </c>
      <c r="F38" s="22" t="n">
        <f aca="false">N23</f>
        <v>972593.9632</v>
      </c>
      <c r="G38" s="25" t="n">
        <f aca="false">'LP Capital Calls'!$H$38</f>
        <v>380000</v>
      </c>
      <c r="H38" s="25" t="n">
        <f aca="false">'Distribution Waterfall'!$L$6*'LP Register'!$F$8</f>
        <v>0</v>
      </c>
      <c r="I38" s="25" t="n">
        <f aca="false">'Distribution Waterfall'!$N$6*'LP Register'!$F$8</f>
        <v>0</v>
      </c>
      <c r="J38" s="25" t="n">
        <f aca="false">'Distribution Waterfall'!$T$6*'LP Register'!$F$8</f>
        <v>0</v>
      </c>
      <c r="K38" s="26" t="n">
        <f aca="false">H38+I38+J38</f>
        <v>0</v>
      </c>
      <c r="L38" s="25" t="n">
        <f aca="false">('NAV Rollforward'!$G$6+'NAV Rollforward'!$H$6-'Mgmt Fee Schedule'!$G$6)*'LP Register'!$F$8</f>
        <v>51722.6696000001</v>
      </c>
      <c r="M38" s="25" t="n">
        <f aca="false">-('Distribution Waterfall'!$Q$6+'Distribution Waterfall'!$U$6)*'LP Register'!$F$8</f>
        <v>-0</v>
      </c>
      <c r="N38" s="26" t="n">
        <f aca="false">F38+G38-K38+L38+M38</f>
        <v>1404316.6328</v>
      </c>
      <c r="O38" s="7" t="str">
        <f aca="false">B38&amp;"|"&amp;D38</f>
        <v>3|LP-05</v>
      </c>
    </row>
    <row r="39" customFormat="false" ht="15" hidden="false" customHeight="true" outlineLevel="0" collapsed="false">
      <c r="B39" s="7" t="n">
        <v>3</v>
      </c>
      <c r="C39" s="9" t="str">
        <f aca="false">Quarters!$E$6</f>
        <v>Q3 2022</v>
      </c>
      <c r="D39" s="7" t="s">
        <v>112</v>
      </c>
      <c r="E39" s="7" t="s">
        <v>113</v>
      </c>
      <c r="F39" s="22" t="n">
        <f aca="false">N24</f>
        <v>972593.9632</v>
      </c>
      <c r="G39" s="25" t="n">
        <f aca="false">'LP Capital Calls'!$H$39</f>
        <v>380000</v>
      </c>
      <c r="H39" s="25" t="n">
        <f aca="false">'Distribution Waterfall'!$L$6*'LP Register'!$F$9</f>
        <v>0</v>
      </c>
      <c r="I39" s="25" t="n">
        <f aca="false">'Distribution Waterfall'!$N$6*'LP Register'!$F$9</f>
        <v>0</v>
      </c>
      <c r="J39" s="25" t="n">
        <f aca="false">'Distribution Waterfall'!$T$6*'LP Register'!$F$9</f>
        <v>0</v>
      </c>
      <c r="K39" s="26" t="n">
        <f aca="false">H39+I39+J39</f>
        <v>0</v>
      </c>
      <c r="L39" s="25" t="n">
        <f aca="false">('NAV Rollforward'!$G$6+'NAV Rollforward'!$H$6-'Mgmt Fee Schedule'!$G$6)*'LP Register'!$F$9</f>
        <v>51722.6696000001</v>
      </c>
      <c r="M39" s="25" t="n">
        <f aca="false">-('Distribution Waterfall'!$Q$6+'Distribution Waterfall'!$U$6)*'LP Register'!$F$9</f>
        <v>-0</v>
      </c>
      <c r="N39" s="26" t="n">
        <f aca="false">F39+G39-K39+L39+M39</f>
        <v>1404316.6328</v>
      </c>
      <c r="O39" s="7" t="str">
        <f aca="false">B39&amp;"|"&amp;D39</f>
        <v>3|LP-06</v>
      </c>
    </row>
    <row r="40" customFormat="false" ht="15" hidden="false" customHeight="true" outlineLevel="0" collapsed="false">
      <c r="B40" s="7" t="n">
        <v>3</v>
      </c>
      <c r="C40" s="9" t="str">
        <f aca="false">Quarters!$E$6</f>
        <v>Q3 2022</v>
      </c>
      <c r="D40" s="7" t="s">
        <v>115</v>
      </c>
      <c r="E40" s="7" t="s">
        <v>116</v>
      </c>
      <c r="F40" s="22" t="n">
        <f aca="false">N25</f>
        <v>729445.4724</v>
      </c>
      <c r="G40" s="25" t="n">
        <f aca="false">'LP Capital Calls'!$H$40</f>
        <v>285000</v>
      </c>
      <c r="H40" s="25" t="n">
        <f aca="false">'Distribution Waterfall'!$L$6*'LP Register'!$F$10</f>
        <v>0</v>
      </c>
      <c r="I40" s="25" t="n">
        <f aca="false">'Distribution Waterfall'!$N$6*'LP Register'!$F$10</f>
        <v>0</v>
      </c>
      <c r="J40" s="25" t="n">
        <f aca="false">'Distribution Waterfall'!$T$6*'LP Register'!$F$10</f>
        <v>0</v>
      </c>
      <c r="K40" s="26" t="n">
        <f aca="false">H40+I40+J40</f>
        <v>0</v>
      </c>
      <c r="L40" s="25" t="n">
        <f aca="false">('NAV Rollforward'!$G$6+'NAV Rollforward'!$H$6-'Mgmt Fee Schedule'!$G$6)*'LP Register'!$F$10</f>
        <v>38792.0022000001</v>
      </c>
      <c r="M40" s="25" t="n">
        <f aca="false">-('Distribution Waterfall'!$Q$6+'Distribution Waterfall'!$U$6)*'LP Register'!$F$10</f>
        <v>-0</v>
      </c>
      <c r="N40" s="26" t="n">
        <f aca="false">F40+G40-K40+L40+M40</f>
        <v>1053237.4746</v>
      </c>
      <c r="O40" s="7" t="str">
        <f aca="false">B40&amp;"|"&amp;D40</f>
        <v>3|LP-07</v>
      </c>
    </row>
    <row r="41" customFormat="false" ht="15" hidden="false" customHeight="true" outlineLevel="0" collapsed="false">
      <c r="B41" s="7" t="n">
        <v>3</v>
      </c>
      <c r="C41" s="9" t="str">
        <f aca="false">Quarters!$E$6</f>
        <v>Q3 2022</v>
      </c>
      <c r="D41" s="7" t="s">
        <v>117</v>
      </c>
      <c r="E41" s="7" t="s">
        <v>118</v>
      </c>
      <c r="F41" s="22" t="n">
        <f aca="false">N26</f>
        <v>607871.227</v>
      </c>
      <c r="G41" s="25" t="n">
        <f aca="false">'LP Capital Calls'!$H$41</f>
        <v>237500</v>
      </c>
      <c r="H41" s="25" t="n">
        <f aca="false">'Distribution Waterfall'!$L$6*'LP Register'!$F$11</f>
        <v>0</v>
      </c>
      <c r="I41" s="25" t="n">
        <f aca="false">'Distribution Waterfall'!$N$6*'LP Register'!$F$11</f>
        <v>0</v>
      </c>
      <c r="J41" s="25" t="n">
        <f aca="false">'Distribution Waterfall'!$T$6*'LP Register'!$F$11</f>
        <v>0</v>
      </c>
      <c r="K41" s="26" t="n">
        <f aca="false">H41+I41+J41</f>
        <v>0</v>
      </c>
      <c r="L41" s="25" t="n">
        <f aca="false">('NAV Rollforward'!$G$6+'NAV Rollforward'!$H$6-'Mgmt Fee Schedule'!$G$6)*'LP Register'!$F$11</f>
        <v>32326.6685000001</v>
      </c>
      <c r="M41" s="25" t="n">
        <f aca="false">-('Distribution Waterfall'!$Q$6+'Distribution Waterfall'!$U$6)*'LP Register'!$F$11</f>
        <v>-0</v>
      </c>
      <c r="N41" s="26" t="n">
        <f aca="false">F41+G41-K41+L41+M41</f>
        <v>877697.8955</v>
      </c>
      <c r="O41" s="7" t="str">
        <f aca="false">B41&amp;"|"&amp;D41</f>
        <v>3|LP-08</v>
      </c>
    </row>
    <row r="42" customFormat="false" ht="15" hidden="false" customHeight="true" outlineLevel="0" collapsed="false">
      <c r="B42" s="7" t="n">
        <v>3</v>
      </c>
      <c r="C42" s="9" t="str">
        <f aca="false">Quarters!$E$6</f>
        <v>Q3 2022</v>
      </c>
      <c r="D42" s="7" t="s">
        <v>119</v>
      </c>
      <c r="E42" s="7" t="s">
        <v>120</v>
      </c>
      <c r="F42" s="22" t="n">
        <f aca="false">N27</f>
        <v>486296.9816</v>
      </c>
      <c r="G42" s="25" t="n">
        <f aca="false">'LP Capital Calls'!$H$42</f>
        <v>190000</v>
      </c>
      <c r="H42" s="25" t="n">
        <f aca="false">'Distribution Waterfall'!$L$6*'LP Register'!$F$12</f>
        <v>0</v>
      </c>
      <c r="I42" s="25" t="n">
        <f aca="false">'Distribution Waterfall'!$N$6*'LP Register'!$F$12</f>
        <v>0</v>
      </c>
      <c r="J42" s="25" t="n">
        <f aca="false">'Distribution Waterfall'!$T$6*'LP Register'!$F$12</f>
        <v>0</v>
      </c>
      <c r="K42" s="26" t="n">
        <f aca="false">H42+I42+J42</f>
        <v>0</v>
      </c>
      <c r="L42" s="25" t="n">
        <f aca="false">('NAV Rollforward'!$G$6+'NAV Rollforward'!$H$6-'Mgmt Fee Schedule'!$G$6)*'LP Register'!$F$12</f>
        <v>25861.3348</v>
      </c>
      <c r="M42" s="25" t="n">
        <f aca="false">-('Distribution Waterfall'!$Q$6+'Distribution Waterfall'!$U$6)*'LP Register'!$F$12</f>
        <v>-0</v>
      </c>
      <c r="N42" s="26" t="n">
        <f aca="false">F42+G42-K42+L42+M42</f>
        <v>702158.3164</v>
      </c>
      <c r="O42" s="7" t="str">
        <f aca="false">B42&amp;"|"&amp;D42</f>
        <v>3|LP-09</v>
      </c>
    </row>
    <row r="43" customFormat="false" ht="15" hidden="false" customHeight="true" outlineLevel="0" collapsed="false">
      <c r="B43" s="7" t="n">
        <v>3</v>
      </c>
      <c r="C43" s="9" t="str">
        <f aca="false">Quarters!$E$6</f>
        <v>Q3 2022</v>
      </c>
      <c r="D43" s="7" t="s">
        <v>121</v>
      </c>
      <c r="E43" s="7" t="s">
        <v>122</v>
      </c>
      <c r="F43" s="22" t="n">
        <f aca="false">N28</f>
        <v>486296.9816</v>
      </c>
      <c r="G43" s="25" t="n">
        <f aca="false">'LP Capital Calls'!$H$43</f>
        <v>190000</v>
      </c>
      <c r="H43" s="25" t="n">
        <f aca="false">'Distribution Waterfall'!$L$6*'LP Register'!$F$13</f>
        <v>0</v>
      </c>
      <c r="I43" s="25" t="n">
        <f aca="false">'Distribution Waterfall'!$N$6*'LP Register'!$F$13</f>
        <v>0</v>
      </c>
      <c r="J43" s="25" t="n">
        <f aca="false">'Distribution Waterfall'!$T$6*'LP Register'!$F$13</f>
        <v>0</v>
      </c>
      <c r="K43" s="26" t="n">
        <f aca="false">H43+I43+J43</f>
        <v>0</v>
      </c>
      <c r="L43" s="25" t="n">
        <f aca="false">('NAV Rollforward'!$G$6+'NAV Rollforward'!$H$6-'Mgmt Fee Schedule'!$G$6)*'LP Register'!$F$13</f>
        <v>25861.3348</v>
      </c>
      <c r="M43" s="25" t="n">
        <f aca="false">-('Distribution Waterfall'!$Q$6+'Distribution Waterfall'!$U$6)*'LP Register'!$F$13</f>
        <v>-0</v>
      </c>
      <c r="N43" s="26" t="n">
        <f aca="false">F43+G43-K43+L43+M43</f>
        <v>702158.3164</v>
      </c>
      <c r="O43" s="7" t="str">
        <f aca="false">B43&amp;"|"&amp;D43</f>
        <v>3|LP-10</v>
      </c>
    </row>
    <row r="44" customFormat="false" ht="15" hidden="false" customHeight="true" outlineLevel="0" collapsed="false">
      <c r="B44" s="7" t="n">
        <v>3</v>
      </c>
      <c r="C44" s="9" t="str">
        <f aca="false">Quarters!$E$6</f>
        <v>Q3 2022</v>
      </c>
      <c r="D44" s="7" t="s">
        <v>124</v>
      </c>
      <c r="E44" s="7" t="s">
        <v>125</v>
      </c>
      <c r="F44" s="22" t="n">
        <f aca="false">N29</f>
        <v>437667.28344</v>
      </c>
      <c r="G44" s="25" t="n">
        <f aca="false">'LP Capital Calls'!$H$44</f>
        <v>171000</v>
      </c>
      <c r="H44" s="25" t="n">
        <f aca="false">'Distribution Waterfall'!$L$6*'LP Register'!$F$14</f>
        <v>0</v>
      </c>
      <c r="I44" s="25" t="n">
        <f aca="false">'Distribution Waterfall'!$N$6*'LP Register'!$F$14</f>
        <v>0</v>
      </c>
      <c r="J44" s="25" t="n">
        <f aca="false">'Distribution Waterfall'!$T$6*'LP Register'!$F$14</f>
        <v>0</v>
      </c>
      <c r="K44" s="26" t="n">
        <f aca="false">H44+I44+J44</f>
        <v>0</v>
      </c>
      <c r="L44" s="25" t="n">
        <f aca="false">('NAV Rollforward'!$G$6+'NAV Rollforward'!$H$6-'Mgmt Fee Schedule'!$G$6)*'LP Register'!$F$14</f>
        <v>23275.20132</v>
      </c>
      <c r="M44" s="25" t="n">
        <f aca="false">-('Distribution Waterfall'!$Q$6+'Distribution Waterfall'!$U$6)*'LP Register'!$F$14</f>
        <v>-0</v>
      </c>
      <c r="N44" s="26" t="n">
        <f aca="false">F44+G44-K44+L44+M44</f>
        <v>631942.48476</v>
      </c>
      <c r="O44" s="7" t="str">
        <f aca="false">B44&amp;"|"&amp;D44</f>
        <v>3|LP-11</v>
      </c>
    </row>
    <row r="45" customFormat="false" ht="15" hidden="false" customHeight="true" outlineLevel="0" collapsed="false">
      <c r="B45" s="7" t="n">
        <v>3</v>
      </c>
      <c r="C45" s="9" t="str">
        <f aca="false">Quarters!$E$6</f>
        <v>Q3 2022</v>
      </c>
      <c r="D45" s="7" t="s">
        <v>126</v>
      </c>
      <c r="E45" s="7" t="s">
        <v>127</v>
      </c>
      <c r="F45" s="22" t="n">
        <f aca="false">N30</f>
        <v>364722.7362</v>
      </c>
      <c r="G45" s="25" t="n">
        <f aca="false">'LP Capital Calls'!$H$45</f>
        <v>142500</v>
      </c>
      <c r="H45" s="25" t="n">
        <f aca="false">'Distribution Waterfall'!$L$6*'LP Register'!$F$15</f>
        <v>0</v>
      </c>
      <c r="I45" s="25" t="n">
        <f aca="false">'Distribution Waterfall'!$N$6*'LP Register'!$F$15</f>
        <v>0</v>
      </c>
      <c r="J45" s="25" t="n">
        <f aca="false">'Distribution Waterfall'!$T$6*'LP Register'!$F$15</f>
        <v>0</v>
      </c>
      <c r="K45" s="26" t="n">
        <f aca="false">H45+I45+J45</f>
        <v>0</v>
      </c>
      <c r="L45" s="25" t="n">
        <f aca="false">('NAV Rollforward'!$G$6+'NAV Rollforward'!$H$6-'Mgmt Fee Schedule'!$G$6)*'LP Register'!$F$15</f>
        <v>19396.0011</v>
      </c>
      <c r="M45" s="25" t="n">
        <f aca="false">-('Distribution Waterfall'!$Q$6+'Distribution Waterfall'!$U$6)*'LP Register'!$F$15</f>
        <v>-0</v>
      </c>
      <c r="N45" s="26" t="n">
        <f aca="false">F45+G45-K45+L45+M45</f>
        <v>526618.7373</v>
      </c>
      <c r="O45" s="7" t="str">
        <f aca="false">B45&amp;"|"&amp;D45</f>
        <v>3|LP-12</v>
      </c>
    </row>
    <row r="46" customFormat="false" ht="15" hidden="false" customHeight="true" outlineLevel="0" collapsed="false">
      <c r="B46" s="7" t="n">
        <v>3</v>
      </c>
      <c r="C46" s="9" t="str">
        <f aca="false">Quarters!$E$6</f>
        <v>Q3 2022</v>
      </c>
      <c r="D46" s="7" t="s">
        <v>128</v>
      </c>
      <c r="E46" s="7" t="s">
        <v>129</v>
      </c>
      <c r="F46" s="22" t="n">
        <f aca="false">N31</f>
        <v>364722.7362</v>
      </c>
      <c r="G46" s="25" t="n">
        <f aca="false">'LP Capital Calls'!$H$46</f>
        <v>142500</v>
      </c>
      <c r="H46" s="25" t="n">
        <f aca="false">'Distribution Waterfall'!$L$6*'LP Register'!$F$16</f>
        <v>0</v>
      </c>
      <c r="I46" s="25" t="n">
        <f aca="false">'Distribution Waterfall'!$N$6*'LP Register'!$F$16</f>
        <v>0</v>
      </c>
      <c r="J46" s="25" t="n">
        <f aca="false">'Distribution Waterfall'!$T$6*'LP Register'!$F$16</f>
        <v>0</v>
      </c>
      <c r="K46" s="26" t="n">
        <f aca="false">H46+I46+J46</f>
        <v>0</v>
      </c>
      <c r="L46" s="25" t="n">
        <f aca="false">('NAV Rollforward'!$G$6+'NAV Rollforward'!$H$6-'Mgmt Fee Schedule'!$G$6)*'LP Register'!$F$16</f>
        <v>19396.0011</v>
      </c>
      <c r="M46" s="25" t="n">
        <f aca="false">-('Distribution Waterfall'!$Q$6+'Distribution Waterfall'!$U$6)*'LP Register'!$F$16</f>
        <v>-0</v>
      </c>
      <c r="N46" s="26" t="n">
        <f aca="false">F46+G46-K46+L46+M46</f>
        <v>526618.7373</v>
      </c>
      <c r="O46" s="7" t="str">
        <f aca="false">B46&amp;"|"&amp;D46</f>
        <v>3|LP-13</v>
      </c>
    </row>
    <row r="47" customFormat="false" ht="15" hidden="false" customHeight="true" outlineLevel="0" collapsed="false">
      <c r="B47" s="7" t="n">
        <v>3</v>
      </c>
      <c r="C47" s="9" t="str">
        <f aca="false">Quarters!$E$6</f>
        <v>Q3 2022</v>
      </c>
      <c r="D47" s="7" t="s">
        <v>130</v>
      </c>
      <c r="E47" s="7" t="s">
        <v>131</v>
      </c>
      <c r="F47" s="22" t="n">
        <f aca="false">N32</f>
        <v>389037.58528</v>
      </c>
      <c r="G47" s="25" t="n">
        <f aca="false">'LP Capital Calls'!$H$47</f>
        <v>152000</v>
      </c>
      <c r="H47" s="25" t="n">
        <f aca="false">'Distribution Waterfall'!$L$6*'LP Register'!$F$17</f>
        <v>0</v>
      </c>
      <c r="I47" s="25" t="n">
        <f aca="false">'Distribution Waterfall'!$N$6*'LP Register'!$F$17</f>
        <v>0</v>
      </c>
      <c r="J47" s="25" t="n">
        <f aca="false">'Distribution Waterfall'!$T$6*'LP Register'!$F$17</f>
        <v>0</v>
      </c>
      <c r="K47" s="26" t="n">
        <f aca="false">H47+I47+J47</f>
        <v>0</v>
      </c>
      <c r="L47" s="25" t="n">
        <f aca="false">('NAV Rollforward'!$G$6+'NAV Rollforward'!$H$6-'Mgmt Fee Schedule'!$G$6)*'LP Register'!$F$17</f>
        <v>20689.06784</v>
      </c>
      <c r="M47" s="25" t="n">
        <f aca="false">-('Distribution Waterfall'!$Q$6+'Distribution Waterfall'!$U$6)*'LP Register'!$F$17</f>
        <v>-0</v>
      </c>
      <c r="N47" s="26" t="n">
        <f aca="false">F47+G47-K47+L47+M47</f>
        <v>561726.65312</v>
      </c>
      <c r="O47" s="7" t="str">
        <f aca="false">B47&amp;"|"&amp;D47</f>
        <v>3|LP-14</v>
      </c>
    </row>
    <row r="48" customFormat="false" ht="15" hidden="false" customHeight="true" outlineLevel="0" collapsed="false">
      <c r="B48" s="7" t="n">
        <v>3</v>
      </c>
      <c r="C48" s="9" t="str">
        <f aca="false">Quarters!$E$6</f>
        <v>Q3 2022</v>
      </c>
      <c r="D48" s="7" t="s">
        <v>132</v>
      </c>
      <c r="E48" s="7" t="s">
        <v>133</v>
      </c>
      <c r="F48" s="22" t="n">
        <f aca="false">N33</f>
        <v>389037.58528</v>
      </c>
      <c r="G48" s="25" t="n">
        <f aca="false">'LP Capital Calls'!$H$48</f>
        <v>152000</v>
      </c>
      <c r="H48" s="25" t="n">
        <f aca="false">'Distribution Waterfall'!$L$6*'LP Register'!$F$18</f>
        <v>0</v>
      </c>
      <c r="I48" s="25" t="n">
        <f aca="false">'Distribution Waterfall'!$N$6*'LP Register'!$F$18</f>
        <v>0</v>
      </c>
      <c r="J48" s="25" t="n">
        <f aca="false">'Distribution Waterfall'!$T$6*'LP Register'!$F$18</f>
        <v>0</v>
      </c>
      <c r="K48" s="26" t="n">
        <f aca="false">H48+I48+J48</f>
        <v>0</v>
      </c>
      <c r="L48" s="25" t="n">
        <f aca="false">('NAV Rollforward'!$G$6+'NAV Rollforward'!$H$6-'Mgmt Fee Schedule'!$G$6)*'LP Register'!$F$18</f>
        <v>20689.06784</v>
      </c>
      <c r="M48" s="25" t="n">
        <f aca="false">-('Distribution Waterfall'!$Q$6+'Distribution Waterfall'!$U$6)*'LP Register'!$F$18</f>
        <v>-0</v>
      </c>
      <c r="N48" s="26" t="n">
        <f aca="false">F48+G48-K48+L48+M48</f>
        <v>561726.65312</v>
      </c>
      <c r="O48" s="7" t="str">
        <f aca="false">B48&amp;"|"&amp;D48</f>
        <v>3|LP-15</v>
      </c>
    </row>
    <row r="49" customFormat="false" ht="15" hidden="false" customHeight="true" outlineLevel="0" collapsed="false">
      <c r="B49" s="7" t="n">
        <v>4</v>
      </c>
      <c r="C49" s="9" t="str">
        <f aca="false">Quarters!$E$7</f>
        <v>Q4 2022</v>
      </c>
      <c r="D49" s="7" t="s">
        <v>97</v>
      </c>
      <c r="E49" s="7" t="s">
        <v>98</v>
      </c>
      <c r="F49" s="22" t="n">
        <f aca="false">N34</f>
        <v>2808633.2656</v>
      </c>
      <c r="G49" s="25" t="n">
        <f aca="false">'LP Capital Calls'!$H$49</f>
        <v>840000</v>
      </c>
      <c r="H49" s="25" t="n">
        <f aca="false">'Distribution Waterfall'!$L$7*'LP Register'!$F$4</f>
        <v>0</v>
      </c>
      <c r="I49" s="25" t="n">
        <f aca="false">'Distribution Waterfall'!$N$7*'LP Register'!$F$4</f>
        <v>0</v>
      </c>
      <c r="J49" s="25" t="n">
        <f aca="false">'Distribution Waterfall'!$T$7*'LP Register'!$F$4</f>
        <v>0</v>
      </c>
      <c r="K49" s="26" t="n">
        <f aca="false">H49+I49+J49</f>
        <v>0</v>
      </c>
      <c r="L49" s="25" t="n">
        <f aca="false">('NAV Rollforward'!$G$7+'NAV Rollforward'!$H$7-'Mgmt Fee Schedule'!$G$7)*'LP Register'!$F$4</f>
        <v>121382.8</v>
      </c>
      <c r="M49" s="25" t="n">
        <f aca="false">-('Distribution Waterfall'!$Q$7+'Distribution Waterfall'!$U$7)*'LP Register'!$F$4</f>
        <v>-0</v>
      </c>
      <c r="N49" s="26" t="n">
        <f aca="false">F49+G49-K49+L49+M49</f>
        <v>3770016.0656</v>
      </c>
      <c r="O49" s="7" t="str">
        <f aca="false">B49&amp;"|"&amp;D49</f>
        <v>4|LP-01</v>
      </c>
    </row>
    <row r="50" customFormat="false" ht="15" hidden="false" customHeight="true" outlineLevel="0" collapsed="false">
      <c r="B50" s="7" t="n">
        <v>4</v>
      </c>
      <c r="C50" s="9" t="str">
        <f aca="false">Quarters!$E$7</f>
        <v>Q4 2022</v>
      </c>
      <c r="D50" s="7" t="s">
        <v>100</v>
      </c>
      <c r="E50" s="7" t="s">
        <v>101</v>
      </c>
      <c r="F50" s="22" t="n">
        <f aca="false">N35</f>
        <v>2106474.9492</v>
      </c>
      <c r="G50" s="25" t="n">
        <f aca="false">'LP Capital Calls'!$H$50</f>
        <v>630000</v>
      </c>
      <c r="H50" s="25" t="n">
        <f aca="false">'Distribution Waterfall'!$L$7*'LP Register'!$F$5</f>
        <v>0</v>
      </c>
      <c r="I50" s="25" t="n">
        <f aca="false">'Distribution Waterfall'!$N$7*'LP Register'!$F$5</f>
        <v>0</v>
      </c>
      <c r="J50" s="25" t="n">
        <f aca="false">'Distribution Waterfall'!$T$7*'LP Register'!$F$5</f>
        <v>0</v>
      </c>
      <c r="K50" s="26" t="n">
        <f aca="false">H50+I50+J50</f>
        <v>0</v>
      </c>
      <c r="L50" s="25" t="n">
        <f aca="false">('NAV Rollforward'!$G$7+'NAV Rollforward'!$H$7-'Mgmt Fee Schedule'!$G$7)*'LP Register'!$F$5</f>
        <v>91037.1</v>
      </c>
      <c r="M50" s="25" t="n">
        <f aca="false">-('Distribution Waterfall'!$Q$7+'Distribution Waterfall'!$U$7)*'LP Register'!$F$5</f>
        <v>-0</v>
      </c>
      <c r="N50" s="26" t="n">
        <f aca="false">F50+G50-K50+L50+M50</f>
        <v>2827512.0492</v>
      </c>
      <c r="O50" s="7" t="str">
        <f aca="false">B50&amp;"|"&amp;D50</f>
        <v>4|LP-02</v>
      </c>
    </row>
    <row r="51" customFormat="false" ht="15" hidden="false" customHeight="true" outlineLevel="0" collapsed="false">
      <c r="B51" s="7" t="n">
        <v>4</v>
      </c>
      <c r="C51" s="9" t="str">
        <f aca="false">Quarters!$E$7</f>
        <v>Q4 2022</v>
      </c>
      <c r="D51" s="7" t="s">
        <v>103</v>
      </c>
      <c r="E51" s="7" t="s">
        <v>104</v>
      </c>
      <c r="F51" s="22" t="n">
        <f aca="false">N36</f>
        <v>1930935.3701</v>
      </c>
      <c r="G51" s="25" t="n">
        <f aca="false">'LP Capital Calls'!$H$51</f>
        <v>577500</v>
      </c>
      <c r="H51" s="25" t="n">
        <f aca="false">'Distribution Waterfall'!$L$7*'LP Register'!$F$6</f>
        <v>0</v>
      </c>
      <c r="I51" s="25" t="n">
        <f aca="false">'Distribution Waterfall'!$N$7*'LP Register'!$F$6</f>
        <v>0</v>
      </c>
      <c r="J51" s="25" t="n">
        <f aca="false">'Distribution Waterfall'!$T$7*'LP Register'!$F$6</f>
        <v>0</v>
      </c>
      <c r="K51" s="26" t="n">
        <f aca="false">H51+I51+J51</f>
        <v>0</v>
      </c>
      <c r="L51" s="25" t="n">
        <f aca="false">('NAV Rollforward'!$G$7+'NAV Rollforward'!$H$7-'Mgmt Fee Schedule'!$G$7)*'LP Register'!$F$6</f>
        <v>83450.675</v>
      </c>
      <c r="M51" s="25" t="n">
        <f aca="false">-('Distribution Waterfall'!$Q$7+'Distribution Waterfall'!$U$7)*'LP Register'!$F$6</f>
        <v>-0</v>
      </c>
      <c r="N51" s="26" t="n">
        <f aca="false">F51+G51-K51+L51+M51</f>
        <v>2591886.0451</v>
      </c>
      <c r="O51" s="7" t="str">
        <f aca="false">B51&amp;"|"&amp;D51</f>
        <v>4|LP-03</v>
      </c>
    </row>
    <row r="52" customFormat="false" ht="15" hidden="false" customHeight="true" outlineLevel="0" collapsed="false">
      <c r="B52" s="7" t="n">
        <v>4</v>
      </c>
      <c r="C52" s="9" t="str">
        <f aca="false">Quarters!$E$7</f>
        <v>Q4 2022</v>
      </c>
      <c r="D52" s="7" t="s">
        <v>106</v>
      </c>
      <c r="E52" s="7" t="s">
        <v>107</v>
      </c>
      <c r="F52" s="22" t="n">
        <f aca="false">N37</f>
        <v>1755395.791</v>
      </c>
      <c r="G52" s="25" t="n">
        <f aca="false">'LP Capital Calls'!$H$52</f>
        <v>525000</v>
      </c>
      <c r="H52" s="25" t="n">
        <f aca="false">'Distribution Waterfall'!$L$7*'LP Register'!$F$7</f>
        <v>0</v>
      </c>
      <c r="I52" s="25" t="n">
        <f aca="false">'Distribution Waterfall'!$N$7*'LP Register'!$F$7</f>
        <v>0</v>
      </c>
      <c r="J52" s="25" t="n">
        <f aca="false">'Distribution Waterfall'!$T$7*'LP Register'!$F$7</f>
        <v>0</v>
      </c>
      <c r="K52" s="26" t="n">
        <f aca="false">H52+I52+J52</f>
        <v>0</v>
      </c>
      <c r="L52" s="25" t="n">
        <f aca="false">('NAV Rollforward'!$G$7+'NAV Rollforward'!$H$7-'Mgmt Fee Schedule'!$G$7)*'LP Register'!$F$7</f>
        <v>75864.25</v>
      </c>
      <c r="M52" s="25" t="n">
        <f aca="false">-('Distribution Waterfall'!$Q$7+'Distribution Waterfall'!$U$7)*'LP Register'!$F$7</f>
        <v>-0</v>
      </c>
      <c r="N52" s="26" t="n">
        <f aca="false">F52+G52-K52+L52+M52</f>
        <v>2356260.041</v>
      </c>
      <c r="O52" s="7" t="str">
        <f aca="false">B52&amp;"|"&amp;D52</f>
        <v>4|LP-04</v>
      </c>
    </row>
    <row r="53" customFormat="false" ht="15" hidden="false" customHeight="true" outlineLevel="0" collapsed="false">
      <c r="B53" s="7" t="n">
        <v>4</v>
      </c>
      <c r="C53" s="9" t="str">
        <f aca="false">Quarters!$E$7</f>
        <v>Q4 2022</v>
      </c>
      <c r="D53" s="7" t="s">
        <v>109</v>
      </c>
      <c r="E53" s="7" t="s">
        <v>110</v>
      </c>
      <c r="F53" s="22" t="n">
        <f aca="false">N38</f>
        <v>1404316.6328</v>
      </c>
      <c r="G53" s="25" t="n">
        <f aca="false">'LP Capital Calls'!$H$53</f>
        <v>420000</v>
      </c>
      <c r="H53" s="25" t="n">
        <f aca="false">'Distribution Waterfall'!$L$7*'LP Register'!$F$8</f>
        <v>0</v>
      </c>
      <c r="I53" s="25" t="n">
        <f aca="false">'Distribution Waterfall'!$N$7*'LP Register'!$F$8</f>
        <v>0</v>
      </c>
      <c r="J53" s="25" t="n">
        <f aca="false">'Distribution Waterfall'!$T$7*'LP Register'!$F$8</f>
        <v>0</v>
      </c>
      <c r="K53" s="26" t="n">
        <f aca="false">H53+I53+J53</f>
        <v>0</v>
      </c>
      <c r="L53" s="25" t="n">
        <f aca="false">('NAV Rollforward'!$G$7+'NAV Rollforward'!$H$7-'Mgmt Fee Schedule'!$G$7)*'LP Register'!$F$8</f>
        <v>60691.4</v>
      </c>
      <c r="M53" s="25" t="n">
        <f aca="false">-('Distribution Waterfall'!$Q$7+'Distribution Waterfall'!$U$7)*'LP Register'!$F$8</f>
        <v>-0</v>
      </c>
      <c r="N53" s="26" t="n">
        <f aca="false">F53+G53-K53+L53+M53</f>
        <v>1885008.0328</v>
      </c>
      <c r="O53" s="7" t="str">
        <f aca="false">B53&amp;"|"&amp;D53</f>
        <v>4|LP-05</v>
      </c>
    </row>
    <row r="54" customFormat="false" ht="15" hidden="false" customHeight="true" outlineLevel="0" collapsed="false">
      <c r="B54" s="7" t="n">
        <v>4</v>
      </c>
      <c r="C54" s="9" t="str">
        <f aca="false">Quarters!$E$7</f>
        <v>Q4 2022</v>
      </c>
      <c r="D54" s="7" t="s">
        <v>112</v>
      </c>
      <c r="E54" s="7" t="s">
        <v>113</v>
      </c>
      <c r="F54" s="22" t="n">
        <f aca="false">N39</f>
        <v>1404316.6328</v>
      </c>
      <c r="G54" s="25" t="n">
        <f aca="false">'LP Capital Calls'!$H$54</f>
        <v>420000</v>
      </c>
      <c r="H54" s="25" t="n">
        <f aca="false">'Distribution Waterfall'!$L$7*'LP Register'!$F$9</f>
        <v>0</v>
      </c>
      <c r="I54" s="25" t="n">
        <f aca="false">'Distribution Waterfall'!$N$7*'LP Register'!$F$9</f>
        <v>0</v>
      </c>
      <c r="J54" s="25" t="n">
        <f aca="false">'Distribution Waterfall'!$T$7*'LP Register'!$F$9</f>
        <v>0</v>
      </c>
      <c r="K54" s="26" t="n">
        <f aca="false">H54+I54+J54</f>
        <v>0</v>
      </c>
      <c r="L54" s="25" t="n">
        <f aca="false">('NAV Rollforward'!$G$7+'NAV Rollforward'!$H$7-'Mgmt Fee Schedule'!$G$7)*'LP Register'!$F$9</f>
        <v>60691.4</v>
      </c>
      <c r="M54" s="25" t="n">
        <f aca="false">-('Distribution Waterfall'!$Q$7+'Distribution Waterfall'!$U$7)*'LP Register'!$F$9</f>
        <v>-0</v>
      </c>
      <c r="N54" s="26" t="n">
        <f aca="false">F54+G54-K54+L54+M54</f>
        <v>1885008.0328</v>
      </c>
      <c r="O54" s="7" t="str">
        <f aca="false">B54&amp;"|"&amp;D54</f>
        <v>4|LP-06</v>
      </c>
    </row>
    <row r="55" customFormat="false" ht="15" hidden="false" customHeight="true" outlineLevel="0" collapsed="false">
      <c r="B55" s="7" t="n">
        <v>4</v>
      </c>
      <c r="C55" s="9" t="str">
        <f aca="false">Quarters!$E$7</f>
        <v>Q4 2022</v>
      </c>
      <c r="D55" s="7" t="s">
        <v>115</v>
      </c>
      <c r="E55" s="7" t="s">
        <v>116</v>
      </c>
      <c r="F55" s="22" t="n">
        <f aca="false">N40</f>
        <v>1053237.4746</v>
      </c>
      <c r="G55" s="25" t="n">
        <f aca="false">'LP Capital Calls'!$H$55</f>
        <v>315000</v>
      </c>
      <c r="H55" s="25" t="n">
        <f aca="false">'Distribution Waterfall'!$L$7*'LP Register'!$F$10</f>
        <v>0</v>
      </c>
      <c r="I55" s="25" t="n">
        <f aca="false">'Distribution Waterfall'!$N$7*'LP Register'!$F$10</f>
        <v>0</v>
      </c>
      <c r="J55" s="25" t="n">
        <f aca="false">'Distribution Waterfall'!$T$7*'LP Register'!$F$10</f>
        <v>0</v>
      </c>
      <c r="K55" s="26" t="n">
        <f aca="false">H55+I55+J55</f>
        <v>0</v>
      </c>
      <c r="L55" s="25" t="n">
        <f aca="false">('NAV Rollforward'!$G$7+'NAV Rollforward'!$H$7-'Mgmt Fee Schedule'!$G$7)*'LP Register'!$F$10</f>
        <v>45518.55</v>
      </c>
      <c r="M55" s="25" t="n">
        <f aca="false">-('Distribution Waterfall'!$Q$7+'Distribution Waterfall'!$U$7)*'LP Register'!$F$10</f>
        <v>-0</v>
      </c>
      <c r="N55" s="26" t="n">
        <f aca="false">F55+G55-K55+L55+M55</f>
        <v>1413756.0246</v>
      </c>
      <c r="O55" s="7" t="str">
        <f aca="false">B55&amp;"|"&amp;D55</f>
        <v>4|LP-07</v>
      </c>
    </row>
    <row r="56" customFormat="false" ht="15" hidden="false" customHeight="true" outlineLevel="0" collapsed="false">
      <c r="B56" s="7" t="n">
        <v>4</v>
      </c>
      <c r="C56" s="9" t="str">
        <f aca="false">Quarters!$E$7</f>
        <v>Q4 2022</v>
      </c>
      <c r="D56" s="7" t="s">
        <v>117</v>
      </c>
      <c r="E56" s="7" t="s">
        <v>118</v>
      </c>
      <c r="F56" s="22" t="n">
        <f aca="false">N41</f>
        <v>877697.8955</v>
      </c>
      <c r="G56" s="25" t="n">
        <f aca="false">'LP Capital Calls'!$H$56</f>
        <v>262500</v>
      </c>
      <c r="H56" s="25" t="n">
        <f aca="false">'Distribution Waterfall'!$L$7*'LP Register'!$F$11</f>
        <v>0</v>
      </c>
      <c r="I56" s="25" t="n">
        <f aca="false">'Distribution Waterfall'!$N$7*'LP Register'!$F$11</f>
        <v>0</v>
      </c>
      <c r="J56" s="25" t="n">
        <f aca="false">'Distribution Waterfall'!$T$7*'LP Register'!$F$11</f>
        <v>0</v>
      </c>
      <c r="K56" s="26" t="n">
        <f aca="false">H56+I56+J56</f>
        <v>0</v>
      </c>
      <c r="L56" s="25" t="n">
        <f aca="false">('NAV Rollforward'!$G$7+'NAV Rollforward'!$H$7-'Mgmt Fee Schedule'!$G$7)*'LP Register'!$F$11</f>
        <v>37932.125</v>
      </c>
      <c r="M56" s="25" t="n">
        <f aca="false">-('Distribution Waterfall'!$Q$7+'Distribution Waterfall'!$U$7)*'LP Register'!$F$11</f>
        <v>-0</v>
      </c>
      <c r="N56" s="26" t="n">
        <f aca="false">F56+G56-K56+L56+M56</f>
        <v>1178130.0205</v>
      </c>
      <c r="O56" s="7" t="str">
        <f aca="false">B56&amp;"|"&amp;D56</f>
        <v>4|LP-08</v>
      </c>
    </row>
    <row r="57" customFormat="false" ht="15" hidden="false" customHeight="true" outlineLevel="0" collapsed="false">
      <c r="B57" s="7" t="n">
        <v>4</v>
      </c>
      <c r="C57" s="9" t="str">
        <f aca="false">Quarters!$E$7</f>
        <v>Q4 2022</v>
      </c>
      <c r="D57" s="7" t="s">
        <v>119</v>
      </c>
      <c r="E57" s="7" t="s">
        <v>120</v>
      </c>
      <c r="F57" s="22" t="n">
        <f aca="false">N42</f>
        <v>702158.3164</v>
      </c>
      <c r="G57" s="25" t="n">
        <f aca="false">'LP Capital Calls'!$H$57</f>
        <v>210000</v>
      </c>
      <c r="H57" s="25" t="n">
        <f aca="false">'Distribution Waterfall'!$L$7*'LP Register'!$F$12</f>
        <v>0</v>
      </c>
      <c r="I57" s="25" t="n">
        <f aca="false">'Distribution Waterfall'!$N$7*'LP Register'!$F$12</f>
        <v>0</v>
      </c>
      <c r="J57" s="25" t="n">
        <f aca="false">'Distribution Waterfall'!$T$7*'LP Register'!$F$12</f>
        <v>0</v>
      </c>
      <c r="K57" s="26" t="n">
        <f aca="false">H57+I57+J57</f>
        <v>0</v>
      </c>
      <c r="L57" s="25" t="n">
        <f aca="false">('NAV Rollforward'!$G$7+'NAV Rollforward'!$H$7-'Mgmt Fee Schedule'!$G$7)*'LP Register'!$F$12</f>
        <v>30345.7</v>
      </c>
      <c r="M57" s="25" t="n">
        <f aca="false">-('Distribution Waterfall'!$Q$7+'Distribution Waterfall'!$U$7)*'LP Register'!$F$12</f>
        <v>-0</v>
      </c>
      <c r="N57" s="26" t="n">
        <f aca="false">F57+G57-K57+L57+M57</f>
        <v>942504.0164</v>
      </c>
      <c r="O57" s="7" t="str">
        <f aca="false">B57&amp;"|"&amp;D57</f>
        <v>4|LP-09</v>
      </c>
    </row>
    <row r="58" customFormat="false" ht="15" hidden="false" customHeight="true" outlineLevel="0" collapsed="false">
      <c r="B58" s="7" t="n">
        <v>4</v>
      </c>
      <c r="C58" s="9" t="str">
        <f aca="false">Quarters!$E$7</f>
        <v>Q4 2022</v>
      </c>
      <c r="D58" s="7" t="s">
        <v>121</v>
      </c>
      <c r="E58" s="7" t="s">
        <v>122</v>
      </c>
      <c r="F58" s="22" t="n">
        <f aca="false">N43</f>
        <v>702158.3164</v>
      </c>
      <c r="G58" s="25" t="n">
        <f aca="false">'LP Capital Calls'!$H$58</f>
        <v>210000</v>
      </c>
      <c r="H58" s="25" t="n">
        <f aca="false">'Distribution Waterfall'!$L$7*'LP Register'!$F$13</f>
        <v>0</v>
      </c>
      <c r="I58" s="25" t="n">
        <f aca="false">'Distribution Waterfall'!$N$7*'LP Register'!$F$13</f>
        <v>0</v>
      </c>
      <c r="J58" s="25" t="n">
        <f aca="false">'Distribution Waterfall'!$T$7*'LP Register'!$F$13</f>
        <v>0</v>
      </c>
      <c r="K58" s="26" t="n">
        <f aca="false">H58+I58+J58</f>
        <v>0</v>
      </c>
      <c r="L58" s="25" t="n">
        <f aca="false">('NAV Rollforward'!$G$7+'NAV Rollforward'!$H$7-'Mgmt Fee Schedule'!$G$7)*'LP Register'!$F$13</f>
        <v>30345.7</v>
      </c>
      <c r="M58" s="25" t="n">
        <f aca="false">-('Distribution Waterfall'!$Q$7+'Distribution Waterfall'!$U$7)*'LP Register'!$F$13</f>
        <v>-0</v>
      </c>
      <c r="N58" s="26" t="n">
        <f aca="false">F58+G58-K58+L58+M58</f>
        <v>942504.0164</v>
      </c>
      <c r="O58" s="7" t="str">
        <f aca="false">B58&amp;"|"&amp;D58</f>
        <v>4|LP-10</v>
      </c>
    </row>
    <row r="59" customFormat="false" ht="15" hidden="false" customHeight="true" outlineLevel="0" collapsed="false">
      <c r="B59" s="7" t="n">
        <v>4</v>
      </c>
      <c r="C59" s="9" t="str">
        <f aca="false">Quarters!$E$7</f>
        <v>Q4 2022</v>
      </c>
      <c r="D59" s="7" t="s">
        <v>124</v>
      </c>
      <c r="E59" s="7" t="s">
        <v>125</v>
      </c>
      <c r="F59" s="22" t="n">
        <f aca="false">N44</f>
        <v>631942.48476</v>
      </c>
      <c r="G59" s="25" t="n">
        <f aca="false">'LP Capital Calls'!$H$59</f>
        <v>189000</v>
      </c>
      <c r="H59" s="25" t="n">
        <f aca="false">'Distribution Waterfall'!$L$7*'LP Register'!$F$14</f>
        <v>0</v>
      </c>
      <c r="I59" s="25" t="n">
        <f aca="false">'Distribution Waterfall'!$N$7*'LP Register'!$F$14</f>
        <v>0</v>
      </c>
      <c r="J59" s="25" t="n">
        <f aca="false">'Distribution Waterfall'!$T$7*'LP Register'!$F$14</f>
        <v>0</v>
      </c>
      <c r="K59" s="26" t="n">
        <f aca="false">H59+I59+J59</f>
        <v>0</v>
      </c>
      <c r="L59" s="25" t="n">
        <f aca="false">('NAV Rollforward'!$G$7+'NAV Rollforward'!$H$7-'Mgmt Fee Schedule'!$G$7)*'LP Register'!$F$14</f>
        <v>27311.13</v>
      </c>
      <c r="M59" s="25" t="n">
        <f aca="false">-('Distribution Waterfall'!$Q$7+'Distribution Waterfall'!$U$7)*'LP Register'!$F$14</f>
        <v>-0</v>
      </c>
      <c r="N59" s="26" t="n">
        <f aca="false">F59+G59-K59+L59+M59</f>
        <v>848253.61476</v>
      </c>
      <c r="O59" s="7" t="str">
        <f aca="false">B59&amp;"|"&amp;D59</f>
        <v>4|LP-11</v>
      </c>
    </row>
    <row r="60" customFormat="false" ht="15" hidden="false" customHeight="true" outlineLevel="0" collapsed="false">
      <c r="B60" s="7" t="n">
        <v>4</v>
      </c>
      <c r="C60" s="9" t="str">
        <f aca="false">Quarters!$E$7</f>
        <v>Q4 2022</v>
      </c>
      <c r="D60" s="7" t="s">
        <v>126</v>
      </c>
      <c r="E60" s="7" t="s">
        <v>127</v>
      </c>
      <c r="F60" s="22" t="n">
        <f aca="false">N45</f>
        <v>526618.7373</v>
      </c>
      <c r="G60" s="25" t="n">
        <f aca="false">'LP Capital Calls'!$H$60</f>
        <v>157500</v>
      </c>
      <c r="H60" s="25" t="n">
        <f aca="false">'Distribution Waterfall'!$L$7*'LP Register'!$F$15</f>
        <v>0</v>
      </c>
      <c r="I60" s="25" t="n">
        <f aca="false">'Distribution Waterfall'!$N$7*'LP Register'!$F$15</f>
        <v>0</v>
      </c>
      <c r="J60" s="25" t="n">
        <f aca="false">'Distribution Waterfall'!$T$7*'LP Register'!$F$15</f>
        <v>0</v>
      </c>
      <c r="K60" s="26" t="n">
        <f aca="false">H60+I60+J60</f>
        <v>0</v>
      </c>
      <c r="L60" s="25" t="n">
        <f aca="false">('NAV Rollforward'!$G$7+'NAV Rollforward'!$H$7-'Mgmt Fee Schedule'!$G$7)*'LP Register'!$F$15</f>
        <v>22759.275</v>
      </c>
      <c r="M60" s="25" t="n">
        <f aca="false">-('Distribution Waterfall'!$Q$7+'Distribution Waterfall'!$U$7)*'LP Register'!$F$15</f>
        <v>-0</v>
      </c>
      <c r="N60" s="26" t="n">
        <f aca="false">F60+G60-K60+L60+M60</f>
        <v>706878.0123</v>
      </c>
      <c r="O60" s="7" t="str">
        <f aca="false">B60&amp;"|"&amp;D60</f>
        <v>4|LP-12</v>
      </c>
    </row>
    <row r="61" customFormat="false" ht="15" hidden="false" customHeight="true" outlineLevel="0" collapsed="false">
      <c r="B61" s="7" t="n">
        <v>4</v>
      </c>
      <c r="C61" s="9" t="str">
        <f aca="false">Quarters!$E$7</f>
        <v>Q4 2022</v>
      </c>
      <c r="D61" s="7" t="s">
        <v>128</v>
      </c>
      <c r="E61" s="7" t="s">
        <v>129</v>
      </c>
      <c r="F61" s="22" t="n">
        <f aca="false">N46</f>
        <v>526618.7373</v>
      </c>
      <c r="G61" s="25" t="n">
        <f aca="false">'LP Capital Calls'!$H$61</f>
        <v>157500</v>
      </c>
      <c r="H61" s="25" t="n">
        <f aca="false">'Distribution Waterfall'!$L$7*'LP Register'!$F$16</f>
        <v>0</v>
      </c>
      <c r="I61" s="25" t="n">
        <f aca="false">'Distribution Waterfall'!$N$7*'LP Register'!$F$16</f>
        <v>0</v>
      </c>
      <c r="J61" s="25" t="n">
        <f aca="false">'Distribution Waterfall'!$T$7*'LP Register'!$F$16</f>
        <v>0</v>
      </c>
      <c r="K61" s="26" t="n">
        <f aca="false">H61+I61+J61</f>
        <v>0</v>
      </c>
      <c r="L61" s="25" t="n">
        <f aca="false">('NAV Rollforward'!$G$7+'NAV Rollforward'!$H$7-'Mgmt Fee Schedule'!$G$7)*'LP Register'!$F$16</f>
        <v>22759.275</v>
      </c>
      <c r="M61" s="25" t="n">
        <f aca="false">-('Distribution Waterfall'!$Q$7+'Distribution Waterfall'!$U$7)*'LP Register'!$F$16</f>
        <v>-0</v>
      </c>
      <c r="N61" s="26" t="n">
        <f aca="false">F61+G61-K61+L61+M61</f>
        <v>706878.0123</v>
      </c>
      <c r="O61" s="7" t="str">
        <f aca="false">B61&amp;"|"&amp;D61</f>
        <v>4|LP-13</v>
      </c>
    </row>
    <row r="62" customFormat="false" ht="15" hidden="false" customHeight="true" outlineLevel="0" collapsed="false">
      <c r="B62" s="7" t="n">
        <v>4</v>
      </c>
      <c r="C62" s="9" t="str">
        <f aca="false">Quarters!$E$7</f>
        <v>Q4 2022</v>
      </c>
      <c r="D62" s="7" t="s">
        <v>130</v>
      </c>
      <c r="E62" s="7" t="s">
        <v>131</v>
      </c>
      <c r="F62" s="22" t="n">
        <f aca="false">N47</f>
        <v>561726.65312</v>
      </c>
      <c r="G62" s="25" t="n">
        <f aca="false">'LP Capital Calls'!$H$62</f>
        <v>168000</v>
      </c>
      <c r="H62" s="25" t="n">
        <f aca="false">'Distribution Waterfall'!$L$7*'LP Register'!$F$17</f>
        <v>0</v>
      </c>
      <c r="I62" s="25" t="n">
        <f aca="false">'Distribution Waterfall'!$N$7*'LP Register'!$F$17</f>
        <v>0</v>
      </c>
      <c r="J62" s="25" t="n">
        <f aca="false">'Distribution Waterfall'!$T$7*'LP Register'!$F$17</f>
        <v>0</v>
      </c>
      <c r="K62" s="26" t="n">
        <f aca="false">H62+I62+J62</f>
        <v>0</v>
      </c>
      <c r="L62" s="25" t="n">
        <f aca="false">('NAV Rollforward'!$G$7+'NAV Rollforward'!$H$7-'Mgmt Fee Schedule'!$G$7)*'LP Register'!$F$17</f>
        <v>24276.56</v>
      </c>
      <c r="M62" s="25" t="n">
        <f aca="false">-('Distribution Waterfall'!$Q$7+'Distribution Waterfall'!$U$7)*'LP Register'!$F$17</f>
        <v>-0</v>
      </c>
      <c r="N62" s="26" t="n">
        <f aca="false">F62+G62-K62+L62+M62</f>
        <v>754003.21312</v>
      </c>
      <c r="O62" s="7" t="str">
        <f aca="false">B62&amp;"|"&amp;D62</f>
        <v>4|LP-14</v>
      </c>
    </row>
    <row r="63" customFormat="false" ht="15" hidden="false" customHeight="true" outlineLevel="0" collapsed="false">
      <c r="B63" s="7" t="n">
        <v>4</v>
      </c>
      <c r="C63" s="9" t="str">
        <f aca="false">Quarters!$E$7</f>
        <v>Q4 2022</v>
      </c>
      <c r="D63" s="7" t="s">
        <v>132</v>
      </c>
      <c r="E63" s="7" t="s">
        <v>133</v>
      </c>
      <c r="F63" s="22" t="n">
        <f aca="false">N48</f>
        <v>561726.65312</v>
      </c>
      <c r="G63" s="25" t="n">
        <f aca="false">'LP Capital Calls'!$H$63</f>
        <v>168000</v>
      </c>
      <c r="H63" s="25" t="n">
        <f aca="false">'Distribution Waterfall'!$L$7*'LP Register'!$F$18</f>
        <v>0</v>
      </c>
      <c r="I63" s="25" t="n">
        <f aca="false">'Distribution Waterfall'!$N$7*'LP Register'!$F$18</f>
        <v>0</v>
      </c>
      <c r="J63" s="25" t="n">
        <f aca="false">'Distribution Waterfall'!$T$7*'LP Register'!$F$18</f>
        <v>0</v>
      </c>
      <c r="K63" s="26" t="n">
        <f aca="false">H63+I63+J63</f>
        <v>0</v>
      </c>
      <c r="L63" s="25" t="n">
        <f aca="false">('NAV Rollforward'!$G$7+'NAV Rollforward'!$H$7-'Mgmt Fee Schedule'!$G$7)*'LP Register'!$F$18</f>
        <v>24276.56</v>
      </c>
      <c r="M63" s="25" t="n">
        <f aca="false">-('Distribution Waterfall'!$Q$7+'Distribution Waterfall'!$U$7)*'LP Register'!$F$18</f>
        <v>-0</v>
      </c>
      <c r="N63" s="26" t="n">
        <f aca="false">F63+G63-K63+L63+M63</f>
        <v>754003.21312</v>
      </c>
      <c r="O63" s="7" t="str">
        <f aca="false">B63&amp;"|"&amp;D63</f>
        <v>4|LP-15</v>
      </c>
    </row>
    <row r="64" customFormat="false" ht="15" hidden="false" customHeight="true" outlineLevel="0" collapsed="false">
      <c r="B64" s="7" t="n">
        <v>5</v>
      </c>
      <c r="C64" s="9" t="str">
        <f aca="false">Quarters!$E$8</f>
        <v>Q1 2023</v>
      </c>
      <c r="D64" s="7" t="s">
        <v>97</v>
      </c>
      <c r="E64" s="7" t="s">
        <v>98</v>
      </c>
      <c r="F64" s="22" t="n">
        <f aca="false">N49</f>
        <v>3770016.0656</v>
      </c>
      <c r="G64" s="25" t="n">
        <f aca="false">'LP Capital Calls'!$H$64</f>
        <v>680000</v>
      </c>
      <c r="H64" s="25" t="n">
        <f aca="false">'Distribution Waterfall'!$L$8*'LP Register'!$F$4</f>
        <v>0</v>
      </c>
      <c r="I64" s="25" t="n">
        <f aca="false">'Distribution Waterfall'!$N$8*'LP Register'!$F$4</f>
        <v>0</v>
      </c>
      <c r="J64" s="25" t="n">
        <f aca="false">'Distribution Waterfall'!$T$8*'LP Register'!$F$4</f>
        <v>0</v>
      </c>
      <c r="K64" s="26" t="n">
        <f aca="false">H64+I64+J64</f>
        <v>0</v>
      </c>
      <c r="L64" s="25" t="n">
        <f aca="false">('NAV Rollforward'!$G$8+'NAV Rollforward'!$H$8-'Mgmt Fee Schedule'!$G$8)*'LP Register'!$F$4</f>
        <v>197757.896</v>
      </c>
      <c r="M64" s="25" t="n">
        <f aca="false">-('Distribution Waterfall'!$Q$8+'Distribution Waterfall'!$U$8)*'LP Register'!$F$4</f>
        <v>-0</v>
      </c>
      <c r="N64" s="26" t="n">
        <f aca="false">F64+G64-K64+L64+M64</f>
        <v>4647773.9616</v>
      </c>
      <c r="O64" s="7" t="str">
        <f aca="false">B64&amp;"|"&amp;D64</f>
        <v>5|LP-01</v>
      </c>
    </row>
    <row r="65" customFormat="false" ht="15" hidden="false" customHeight="true" outlineLevel="0" collapsed="false">
      <c r="B65" s="7" t="n">
        <v>5</v>
      </c>
      <c r="C65" s="9" t="str">
        <f aca="false">Quarters!$E$8</f>
        <v>Q1 2023</v>
      </c>
      <c r="D65" s="7" t="s">
        <v>100</v>
      </c>
      <c r="E65" s="7" t="s">
        <v>101</v>
      </c>
      <c r="F65" s="22" t="n">
        <f aca="false">N50</f>
        <v>2827512.0492</v>
      </c>
      <c r="G65" s="25" t="n">
        <f aca="false">'LP Capital Calls'!$H$65</f>
        <v>510000</v>
      </c>
      <c r="H65" s="25" t="n">
        <f aca="false">'Distribution Waterfall'!$L$8*'LP Register'!$F$5</f>
        <v>0</v>
      </c>
      <c r="I65" s="25" t="n">
        <f aca="false">'Distribution Waterfall'!$N$8*'LP Register'!$F$5</f>
        <v>0</v>
      </c>
      <c r="J65" s="25" t="n">
        <f aca="false">'Distribution Waterfall'!$T$8*'LP Register'!$F$5</f>
        <v>0</v>
      </c>
      <c r="K65" s="26" t="n">
        <f aca="false">H65+I65+J65</f>
        <v>0</v>
      </c>
      <c r="L65" s="25" t="n">
        <f aca="false">('NAV Rollforward'!$G$8+'NAV Rollforward'!$H$8-'Mgmt Fee Schedule'!$G$8)*'LP Register'!$F$5</f>
        <v>148318.422</v>
      </c>
      <c r="M65" s="25" t="n">
        <f aca="false">-('Distribution Waterfall'!$Q$8+'Distribution Waterfall'!$U$8)*'LP Register'!$F$5</f>
        <v>-0</v>
      </c>
      <c r="N65" s="26" t="n">
        <f aca="false">F65+G65-K65+L65+M65</f>
        <v>3485830.4712</v>
      </c>
      <c r="O65" s="7" t="str">
        <f aca="false">B65&amp;"|"&amp;D65</f>
        <v>5|LP-02</v>
      </c>
    </row>
    <row r="66" customFormat="false" ht="15" hidden="false" customHeight="true" outlineLevel="0" collapsed="false">
      <c r="B66" s="7" t="n">
        <v>5</v>
      </c>
      <c r="C66" s="9" t="str">
        <f aca="false">Quarters!$E$8</f>
        <v>Q1 2023</v>
      </c>
      <c r="D66" s="7" t="s">
        <v>103</v>
      </c>
      <c r="E66" s="7" t="s">
        <v>104</v>
      </c>
      <c r="F66" s="22" t="n">
        <f aca="false">N51</f>
        <v>2591886.0451</v>
      </c>
      <c r="G66" s="25" t="n">
        <f aca="false">'LP Capital Calls'!$H$66</f>
        <v>467500</v>
      </c>
      <c r="H66" s="25" t="n">
        <f aca="false">'Distribution Waterfall'!$L$8*'LP Register'!$F$6</f>
        <v>0</v>
      </c>
      <c r="I66" s="25" t="n">
        <f aca="false">'Distribution Waterfall'!$N$8*'LP Register'!$F$6</f>
        <v>0</v>
      </c>
      <c r="J66" s="25" t="n">
        <f aca="false">'Distribution Waterfall'!$T$8*'LP Register'!$F$6</f>
        <v>0</v>
      </c>
      <c r="K66" s="26" t="n">
        <f aca="false">H66+I66+J66</f>
        <v>0</v>
      </c>
      <c r="L66" s="25" t="n">
        <f aca="false">('NAV Rollforward'!$G$8+'NAV Rollforward'!$H$8-'Mgmt Fee Schedule'!$G$8)*'LP Register'!$F$6</f>
        <v>135958.5535</v>
      </c>
      <c r="M66" s="25" t="n">
        <f aca="false">-('Distribution Waterfall'!$Q$8+'Distribution Waterfall'!$U$8)*'LP Register'!$F$6</f>
        <v>-0</v>
      </c>
      <c r="N66" s="26" t="n">
        <f aca="false">F66+G66-K66+L66+M66</f>
        <v>3195344.5986</v>
      </c>
      <c r="O66" s="7" t="str">
        <f aca="false">B66&amp;"|"&amp;D66</f>
        <v>5|LP-03</v>
      </c>
    </row>
    <row r="67" customFormat="false" ht="15" hidden="false" customHeight="true" outlineLevel="0" collapsed="false">
      <c r="B67" s="7" t="n">
        <v>5</v>
      </c>
      <c r="C67" s="9" t="str">
        <f aca="false">Quarters!$E$8</f>
        <v>Q1 2023</v>
      </c>
      <c r="D67" s="7" t="s">
        <v>106</v>
      </c>
      <c r="E67" s="7" t="s">
        <v>107</v>
      </c>
      <c r="F67" s="22" t="n">
        <f aca="false">N52</f>
        <v>2356260.041</v>
      </c>
      <c r="G67" s="25" t="n">
        <f aca="false">'LP Capital Calls'!$H$67</f>
        <v>425000</v>
      </c>
      <c r="H67" s="25" t="n">
        <f aca="false">'Distribution Waterfall'!$L$8*'LP Register'!$F$7</f>
        <v>0</v>
      </c>
      <c r="I67" s="25" t="n">
        <f aca="false">'Distribution Waterfall'!$N$8*'LP Register'!$F$7</f>
        <v>0</v>
      </c>
      <c r="J67" s="25" t="n">
        <f aca="false">'Distribution Waterfall'!$T$8*'LP Register'!$F$7</f>
        <v>0</v>
      </c>
      <c r="K67" s="26" t="n">
        <f aca="false">H67+I67+J67</f>
        <v>0</v>
      </c>
      <c r="L67" s="25" t="n">
        <f aca="false">('NAV Rollforward'!$G$8+'NAV Rollforward'!$H$8-'Mgmt Fee Schedule'!$G$8)*'LP Register'!$F$7</f>
        <v>123598.685</v>
      </c>
      <c r="M67" s="25" t="n">
        <f aca="false">-('Distribution Waterfall'!$Q$8+'Distribution Waterfall'!$U$8)*'LP Register'!$F$7</f>
        <v>-0</v>
      </c>
      <c r="N67" s="26" t="n">
        <f aca="false">F67+G67-K67+L67+M67</f>
        <v>2904858.726</v>
      </c>
      <c r="O67" s="7" t="str">
        <f aca="false">B67&amp;"|"&amp;D67</f>
        <v>5|LP-04</v>
      </c>
    </row>
    <row r="68" customFormat="false" ht="15" hidden="false" customHeight="true" outlineLevel="0" collapsed="false">
      <c r="B68" s="7" t="n">
        <v>5</v>
      </c>
      <c r="C68" s="9" t="str">
        <f aca="false">Quarters!$E$8</f>
        <v>Q1 2023</v>
      </c>
      <c r="D68" s="7" t="s">
        <v>109</v>
      </c>
      <c r="E68" s="7" t="s">
        <v>110</v>
      </c>
      <c r="F68" s="22" t="n">
        <f aca="false">N53</f>
        <v>1885008.0328</v>
      </c>
      <c r="G68" s="25" t="n">
        <f aca="false">'LP Capital Calls'!$H$68</f>
        <v>340000</v>
      </c>
      <c r="H68" s="25" t="n">
        <f aca="false">'Distribution Waterfall'!$L$8*'LP Register'!$F$8</f>
        <v>0</v>
      </c>
      <c r="I68" s="25" t="n">
        <f aca="false">'Distribution Waterfall'!$N$8*'LP Register'!$F$8</f>
        <v>0</v>
      </c>
      <c r="J68" s="25" t="n">
        <f aca="false">'Distribution Waterfall'!$T$8*'LP Register'!$F$8</f>
        <v>0</v>
      </c>
      <c r="K68" s="26" t="n">
        <f aca="false">H68+I68+J68</f>
        <v>0</v>
      </c>
      <c r="L68" s="25" t="n">
        <f aca="false">('NAV Rollforward'!$G$8+'NAV Rollforward'!$H$8-'Mgmt Fee Schedule'!$G$8)*'LP Register'!$F$8</f>
        <v>98878.9480000001</v>
      </c>
      <c r="M68" s="25" t="n">
        <f aca="false">-('Distribution Waterfall'!$Q$8+'Distribution Waterfall'!$U$8)*'LP Register'!$F$8</f>
        <v>-0</v>
      </c>
      <c r="N68" s="26" t="n">
        <f aca="false">F68+G68-K68+L68+M68</f>
        <v>2323886.9808</v>
      </c>
      <c r="O68" s="7" t="str">
        <f aca="false">B68&amp;"|"&amp;D68</f>
        <v>5|LP-05</v>
      </c>
    </row>
    <row r="69" customFormat="false" ht="15" hidden="false" customHeight="true" outlineLevel="0" collapsed="false">
      <c r="B69" s="7" t="n">
        <v>5</v>
      </c>
      <c r="C69" s="9" t="str">
        <f aca="false">Quarters!$E$8</f>
        <v>Q1 2023</v>
      </c>
      <c r="D69" s="7" t="s">
        <v>112</v>
      </c>
      <c r="E69" s="7" t="s">
        <v>113</v>
      </c>
      <c r="F69" s="22" t="n">
        <f aca="false">N54</f>
        <v>1885008.0328</v>
      </c>
      <c r="G69" s="25" t="n">
        <f aca="false">'LP Capital Calls'!$H$69</f>
        <v>340000</v>
      </c>
      <c r="H69" s="25" t="n">
        <f aca="false">'Distribution Waterfall'!$L$8*'LP Register'!$F$9</f>
        <v>0</v>
      </c>
      <c r="I69" s="25" t="n">
        <f aca="false">'Distribution Waterfall'!$N$8*'LP Register'!$F$9</f>
        <v>0</v>
      </c>
      <c r="J69" s="25" t="n">
        <f aca="false">'Distribution Waterfall'!$T$8*'LP Register'!$F$9</f>
        <v>0</v>
      </c>
      <c r="K69" s="26" t="n">
        <f aca="false">H69+I69+J69</f>
        <v>0</v>
      </c>
      <c r="L69" s="25" t="n">
        <f aca="false">('NAV Rollforward'!$G$8+'NAV Rollforward'!$H$8-'Mgmt Fee Schedule'!$G$8)*'LP Register'!$F$9</f>
        <v>98878.9480000001</v>
      </c>
      <c r="M69" s="25" t="n">
        <f aca="false">-('Distribution Waterfall'!$Q$8+'Distribution Waterfall'!$U$8)*'LP Register'!$F$9</f>
        <v>-0</v>
      </c>
      <c r="N69" s="26" t="n">
        <f aca="false">F69+G69-K69+L69+M69</f>
        <v>2323886.9808</v>
      </c>
      <c r="O69" s="7" t="str">
        <f aca="false">B69&amp;"|"&amp;D69</f>
        <v>5|LP-06</v>
      </c>
    </row>
    <row r="70" customFormat="false" ht="15" hidden="false" customHeight="true" outlineLevel="0" collapsed="false">
      <c r="B70" s="7" t="n">
        <v>5</v>
      </c>
      <c r="C70" s="9" t="str">
        <f aca="false">Quarters!$E$8</f>
        <v>Q1 2023</v>
      </c>
      <c r="D70" s="7" t="s">
        <v>115</v>
      </c>
      <c r="E70" s="7" t="s">
        <v>116</v>
      </c>
      <c r="F70" s="22" t="n">
        <f aca="false">N55</f>
        <v>1413756.0246</v>
      </c>
      <c r="G70" s="25" t="n">
        <f aca="false">'LP Capital Calls'!$H$70</f>
        <v>255000</v>
      </c>
      <c r="H70" s="25" t="n">
        <f aca="false">'Distribution Waterfall'!$L$8*'LP Register'!$F$10</f>
        <v>0</v>
      </c>
      <c r="I70" s="25" t="n">
        <f aca="false">'Distribution Waterfall'!$N$8*'LP Register'!$F$10</f>
        <v>0</v>
      </c>
      <c r="J70" s="25" t="n">
        <f aca="false">'Distribution Waterfall'!$T$8*'LP Register'!$F$10</f>
        <v>0</v>
      </c>
      <c r="K70" s="26" t="n">
        <f aca="false">H70+I70+J70</f>
        <v>0</v>
      </c>
      <c r="L70" s="25" t="n">
        <f aca="false">('NAV Rollforward'!$G$8+'NAV Rollforward'!$H$8-'Mgmt Fee Schedule'!$G$8)*'LP Register'!$F$10</f>
        <v>74159.2110000001</v>
      </c>
      <c r="M70" s="25" t="n">
        <f aca="false">-('Distribution Waterfall'!$Q$8+'Distribution Waterfall'!$U$8)*'LP Register'!$F$10</f>
        <v>-0</v>
      </c>
      <c r="N70" s="26" t="n">
        <f aca="false">F70+G70-K70+L70+M70</f>
        <v>1742915.2356</v>
      </c>
      <c r="O70" s="7" t="str">
        <f aca="false">B70&amp;"|"&amp;D70</f>
        <v>5|LP-07</v>
      </c>
    </row>
    <row r="71" customFormat="false" ht="15" hidden="false" customHeight="true" outlineLevel="0" collapsed="false">
      <c r="B71" s="7" t="n">
        <v>5</v>
      </c>
      <c r="C71" s="9" t="str">
        <f aca="false">Quarters!$E$8</f>
        <v>Q1 2023</v>
      </c>
      <c r="D71" s="7" t="s">
        <v>117</v>
      </c>
      <c r="E71" s="7" t="s">
        <v>118</v>
      </c>
      <c r="F71" s="22" t="n">
        <f aca="false">N56</f>
        <v>1178130.0205</v>
      </c>
      <c r="G71" s="25" t="n">
        <f aca="false">'LP Capital Calls'!$H$71</f>
        <v>212500</v>
      </c>
      <c r="H71" s="25" t="n">
        <f aca="false">'Distribution Waterfall'!$L$8*'LP Register'!$F$11</f>
        <v>0</v>
      </c>
      <c r="I71" s="25" t="n">
        <f aca="false">'Distribution Waterfall'!$N$8*'LP Register'!$F$11</f>
        <v>0</v>
      </c>
      <c r="J71" s="25" t="n">
        <f aca="false">'Distribution Waterfall'!$T$8*'LP Register'!$F$11</f>
        <v>0</v>
      </c>
      <c r="K71" s="26" t="n">
        <f aca="false">H71+I71+J71</f>
        <v>0</v>
      </c>
      <c r="L71" s="25" t="n">
        <f aca="false">('NAV Rollforward'!$G$8+'NAV Rollforward'!$H$8-'Mgmt Fee Schedule'!$G$8)*'LP Register'!$F$11</f>
        <v>61799.3425000001</v>
      </c>
      <c r="M71" s="25" t="n">
        <f aca="false">-('Distribution Waterfall'!$Q$8+'Distribution Waterfall'!$U$8)*'LP Register'!$F$11</f>
        <v>-0</v>
      </c>
      <c r="N71" s="26" t="n">
        <f aca="false">F71+G71-K71+L71+M71</f>
        <v>1452429.363</v>
      </c>
      <c r="O71" s="7" t="str">
        <f aca="false">B71&amp;"|"&amp;D71</f>
        <v>5|LP-08</v>
      </c>
    </row>
    <row r="72" customFormat="false" ht="15" hidden="false" customHeight="true" outlineLevel="0" collapsed="false">
      <c r="B72" s="7" t="n">
        <v>5</v>
      </c>
      <c r="C72" s="9" t="str">
        <f aca="false">Quarters!$E$8</f>
        <v>Q1 2023</v>
      </c>
      <c r="D72" s="7" t="s">
        <v>119</v>
      </c>
      <c r="E72" s="7" t="s">
        <v>120</v>
      </c>
      <c r="F72" s="22" t="n">
        <f aca="false">N57</f>
        <v>942504.0164</v>
      </c>
      <c r="G72" s="25" t="n">
        <f aca="false">'LP Capital Calls'!$H$72</f>
        <v>170000</v>
      </c>
      <c r="H72" s="25" t="n">
        <f aca="false">'Distribution Waterfall'!$L$8*'LP Register'!$F$12</f>
        <v>0</v>
      </c>
      <c r="I72" s="25" t="n">
        <f aca="false">'Distribution Waterfall'!$N$8*'LP Register'!$F$12</f>
        <v>0</v>
      </c>
      <c r="J72" s="25" t="n">
        <f aca="false">'Distribution Waterfall'!$T$8*'LP Register'!$F$12</f>
        <v>0</v>
      </c>
      <c r="K72" s="26" t="n">
        <f aca="false">H72+I72+J72</f>
        <v>0</v>
      </c>
      <c r="L72" s="25" t="n">
        <f aca="false">('NAV Rollforward'!$G$8+'NAV Rollforward'!$H$8-'Mgmt Fee Schedule'!$G$8)*'LP Register'!$F$12</f>
        <v>49439.4740000001</v>
      </c>
      <c r="M72" s="25" t="n">
        <f aca="false">-('Distribution Waterfall'!$Q$8+'Distribution Waterfall'!$U$8)*'LP Register'!$F$12</f>
        <v>-0</v>
      </c>
      <c r="N72" s="26" t="n">
        <f aca="false">F72+G72-K72+L72+M72</f>
        <v>1161943.4904</v>
      </c>
      <c r="O72" s="7" t="str">
        <f aca="false">B72&amp;"|"&amp;D72</f>
        <v>5|LP-09</v>
      </c>
    </row>
    <row r="73" customFormat="false" ht="15" hidden="false" customHeight="true" outlineLevel="0" collapsed="false">
      <c r="B73" s="7" t="n">
        <v>5</v>
      </c>
      <c r="C73" s="9" t="str">
        <f aca="false">Quarters!$E$8</f>
        <v>Q1 2023</v>
      </c>
      <c r="D73" s="7" t="s">
        <v>121</v>
      </c>
      <c r="E73" s="7" t="s">
        <v>122</v>
      </c>
      <c r="F73" s="22" t="n">
        <f aca="false">N58</f>
        <v>942504.0164</v>
      </c>
      <c r="G73" s="25" t="n">
        <f aca="false">'LP Capital Calls'!$H$73</f>
        <v>170000</v>
      </c>
      <c r="H73" s="25" t="n">
        <f aca="false">'Distribution Waterfall'!$L$8*'LP Register'!$F$13</f>
        <v>0</v>
      </c>
      <c r="I73" s="25" t="n">
        <f aca="false">'Distribution Waterfall'!$N$8*'LP Register'!$F$13</f>
        <v>0</v>
      </c>
      <c r="J73" s="25" t="n">
        <f aca="false">'Distribution Waterfall'!$T$8*'LP Register'!$F$13</f>
        <v>0</v>
      </c>
      <c r="K73" s="26" t="n">
        <f aca="false">H73+I73+J73</f>
        <v>0</v>
      </c>
      <c r="L73" s="25" t="n">
        <f aca="false">('NAV Rollforward'!$G$8+'NAV Rollforward'!$H$8-'Mgmt Fee Schedule'!$G$8)*'LP Register'!$F$13</f>
        <v>49439.4740000001</v>
      </c>
      <c r="M73" s="25" t="n">
        <f aca="false">-('Distribution Waterfall'!$Q$8+'Distribution Waterfall'!$U$8)*'LP Register'!$F$13</f>
        <v>-0</v>
      </c>
      <c r="N73" s="26" t="n">
        <f aca="false">F73+G73-K73+L73+M73</f>
        <v>1161943.4904</v>
      </c>
      <c r="O73" s="7" t="str">
        <f aca="false">B73&amp;"|"&amp;D73</f>
        <v>5|LP-10</v>
      </c>
    </row>
    <row r="74" customFormat="false" ht="15" hidden="false" customHeight="true" outlineLevel="0" collapsed="false">
      <c r="B74" s="7" t="n">
        <v>5</v>
      </c>
      <c r="C74" s="9" t="str">
        <f aca="false">Quarters!$E$8</f>
        <v>Q1 2023</v>
      </c>
      <c r="D74" s="7" t="s">
        <v>124</v>
      </c>
      <c r="E74" s="7" t="s">
        <v>125</v>
      </c>
      <c r="F74" s="22" t="n">
        <f aca="false">N59</f>
        <v>848253.61476</v>
      </c>
      <c r="G74" s="25" t="n">
        <f aca="false">'LP Capital Calls'!$H$74</f>
        <v>153000</v>
      </c>
      <c r="H74" s="25" t="n">
        <f aca="false">'Distribution Waterfall'!$L$8*'LP Register'!$F$14</f>
        <v>0</v>
      </c>
      <c r="I74" s="25" t="n">
        <f aca="false">'Distribution Waterfall'!$N$8*'LP Register'!$F$14</f>
        <v>0</v>
      </c>
      <c r="J74" s="25" t="n">
        <f aca="false">'Distribution Waterfall'!$T$8*'LP Register'!$F$14</f>
        <v>0</v>
      </c>
      <c r="K74" s="26" t="n">
        <f aca="false">H74+I74+J74</f>
        <v>0</v>
      </c>
      <c r="L74" s="25" t="n">
        <f aca="false">('NAV Rollforward'!$G$8+'NAV Rollforward'!$H$8-'Mgmt Fee Schedule'!$G$8)*'LP Register'!$F$14</f>
        <v>44495.5266000001</v>
      </c>
      <c r="M74" s="25" t="n">
        <f aca="false">-('Distribution Waterfall'!$Q$8+'Distribution Waterfall'!$U$8)*'LP Register'!$F$14</f>
        <v>-0</v>
      </c>
      <c r="N74" s="26" t="n">
        <f aca="false">F74+G74-K74+L74+M74</f>
        <v>1045749.14136</v>
      </c>
      <c r="O74" s="7" t="str">
        <f aca="false">B74&amp;"|"&amp;D74</f>
        <v>5|LP-11</v>
      </c>
    </row>
    <row r="75" customFormat="false" ht="15" hidden="false" customHeight="true" outlineLevel="0" collapsed="false">
      <c r="B75" s="7" t="n">
        <v>5</v>
      </c>
      <c r="C75" s="9" t="str">
        <f aca="false">Quarters!$E$8</f>
        <v>Q1 2023</v>
      </c>
      <c r="D75" s="7" t="s">
        <v>126</v>
      </c>
      <c r="E75" s="7" t="s">
        <v>127</v>
      </c>
      <c r="F75" s="22" t="n">
        <f aca="false">N60</f>
        <v>706878.0123</v>
      </c>
      <c r="G75" s="25" t="n">
        <f aca="false">'LP Capital Calls'!$H$75</f>
        <v>127500</v>
      </c>
      <c r="H75" s="25" t="n">
        <f aca="false">'Distribution Waterfall'!$L$8*'LP Register'!$F$15</f>
        <v>0</v>
      </c>
      <c r="I75" s="25" t="n">
        <f aca="false">'Distribution Waterfall'!$N$8*'LP Register'!$F$15</f>
        <v>0</v>
      </c>
      <c r="J75" s="25" t="n">
        <f aca="false">'Distribution Waterfall'!$T$8*'LP Register'!$F$15</f>
        <v>0</v>
      </c>
      <c r="K75" s="26" t="n">
        <f aca="false">H75+I75+J75</f>
        <v>0</v>
      </c>
      <c r="L75" s="25" t="n">
        <f aca="false">('NAV Rollforward'!$G$8+'NAV Rollforward'!$H$8-'Mgmt Fee Schedule'!$G$8)*'LP Register'!$F$15</f>
        <v>37079.6055</v>
      </c>
      <c r="M75" s="25" t="n">
        <f aca="false">-('Distribution Waterfall'!$Q$8+'Distribution Waterfall'!$U$8)*'LP Register'!$F$15</f>
        <v>-0</v>
      </c>
      <c r="N75" s="26" t="n">
        <f aca="false">F75+G75-K75+L75+M75</f>
        <v>871457.6178</v>
      </c>
      <c r="O75" s="7" t="str">
        <f aca="false">B75&amp;"|"&amp;D75</f>
        <v>5|LP-12</v>
      </c>
    </row>
    <row r="76" customFormat="false" ht="15" hidden="false" customHeight="true" outlineLevel="0" collapsed="false">
      <c r="B76" s="7" t="n">
        <v>5</v>
      </c>
      <c r="C76" s="9" t="str">
        <f aca="false">Quarters!$E$8</f>
        <v>Q1 2023</v>
      </c>
      <c r="D76" s="7" t="s">
        <v>128</v>
      </c>
      <c r="E76" s="7" t="s">
        <v>129</v>
      </c>
      <c r="F76" s="22" t="n">
        <f aca="false">N61</f>
        <v>706878.0123</v>
      </c>
      <c r="G76" s="25" t="n">
        <f aca="false">'LP Capital Calls'!$H$76</f>
        <v>127500</v>
      </c>
      <c r="H76" s="25" t="n">
        <f aca="false">'Distribution Waterfall'!$L$8*'LP Register'!$F$16</f>
        <v>0</v>
      </c>
      <c r="I76" s="25" t="n">
        <f aca="false">'Distribution Waterfall'!$N$8*'LP Register'!$F$16</f>
        <v>0</v>
      </c>
      <c r="J76" s="25" t="n">
        <f aca="false">'Distribution Waterfall'!$T$8*'LP Register'!$F$16</f>
        <v>0</v>
      </c>
      <c r="K76" s="26" t="n">
        <f aca="false">H76+I76+J76</f>
        <v>0</v>
      </c>
      <c r="L76" s="25" t="n">
        <f aca="false">('NAV Rollforward'!$G$8+'NAV Rollforward'!$H$8-'Mgmt Fee Schedule'!$G$8)*'LP Register'!$F$16</f>
        <v>37079.6055</v>
      </c>
      <c r="M76" s="25" t="n">
        <f aca="false">-('Distribution Waterfall'!$Q$8+'Distribution Waterfall'!$U$8)*'LP Register'!$F$16</f>
        <v>-0</v>
      </c>
      <c r="N76" s="26" t="n">
        <f aca="false">F76+G76-K76+L76+M76</f>
        <v>871457.6178</v>
      </c>
      <c r="O76" s="7" t="str">
        <f aca="false">B76&amp;"|"&amp;D76</f>
        <v>5|LP-13</v>
      </c>
    </row>
    <row r="77" customFormat="false" ht="15" hidden="false" customHeight="true" outlineLevel="0" collapsed="false">
      <c r="B77" s="7" t="n">
        <v>5</v>
      </c>
      <c r="C77" s="9" t="str">
        <f aca="false">Quarters!$E$8</f>
        <v>Q1 2023</v>
      </c>
      <c r="D77" s="7" t="s">
        <v>130</v>
      </c>
      <c r="E77" s="7" t="s">
        <v>131</v>
      </c>
      <c r="F77" s="22" t="n">
        <f aca="false">N62</f>
        <v>754003.21312</v>
      </c>
      <c r="G77" s="25" t="n">
        <f aca="false">'LP Capital Calls'!$H$77</f>
        <v>136000</v>
      </c>
      <c r="H77" s="25" t="n">
        <f aca="false">'Distribution Waterfall'!$L$8*'LP Register'!$F$17</f>
        <v>0</v>
      </c>
      <c r="I77" s="25" t="n">
        <f aca="false">'Distribution Waterfall'!$N$8*'LP Register'!$F$17</f>
        <v>0</v>
      </c>
      <c r="J77" s="25" t="n">
        <f aca="false">'Distribution Waterfall'!$T$8*'LP Register'!$F$17</f>
        <v>0</v>
      </c>
      <c r="K77" s="26" t="n">
        <f aca="false">H77+I77+J77</f>
        <v>0</v>
      </c>
      <c r="L77" s="25" t="n">
        <f aca="false">('NAV Rollforward'!$G$8+'NAV Rollforward'!$H$8-'Mgmt Fee Schedule'!$G$8)*'LP Register'!$F$17</f>
        <v>39551.5792000001</v>
      </c>
      <c r="M77" s="25" t="n">
        <f aca="false">-('Distribution Waterfall'!$Q$8+'Distribution Waterfall'!$U$8)*'LP Register'!$F$17</f>
        <v>-0</v>
      </c>
      <c r="N77" s="26" t="n">
        <f aca="false">F77+G77-K77+L77+M77</f>
        <v>929554.79232</v>
      </c>
      <c r="O77" s="7" t="str">
        <f aca="false">B77&amp;"|"&amp;D77</f>
        <v>5|LP-14</v>
      </c>
    </row>
    <row r="78" customFormat="false" ht="15" hidden="false" customHeight="true" outlineLevel="0" collapsed="false">
      <c r="B78" s="7" t="n">
        <v>5</v>
      </c>
      <c r="C78" s="9" t="str">
        <f aca="false">Quarters!$E$8</f>
        <v>Q1 2023</v>
      </c>
      <c r="D78" s="7" t="s">
        <v>132</v>
      </c>
      <c r="E78" s="7" t="s">
        <v>133</v>
      </c>
      <c r="F78" s="22" t="n">
        <f aca="false">N63</f>
        <v>754003.21312</v>
      </c>
      <c r="G78" s="25" t="n">
        <f aca="false">'LP Capital Calls'!$H$78</f>
        <v>136000</v>
      </c>
      <c r="H78" s="25" t="n">
        <f aca="false">'Distribution Waterfall'!$L$8*'LP Register'!$F$18</f>
        <v>0</v>
      </c>
      <c r="I78" s="25" t="n">
        <f aca="false">'Distribution Waterfall'!$N$8*'LP Register'!$F$18</f>
        <v>0</v>
      </c>
      <c r="J78" s="25" t="n">
        <f aca="false">'Distribution Waterfall'!$T$8*'LP Register'!$F$18</f>
        <v>0</v>
      </c>
      <c r="K78" s="26" t="n">
        <f aca="false">H78+I78+J78</f>
        <v>0</v>
      </c>
      <c r="L78" s="25" t="n">
        <f aca="false">('NAV Rollforward'!$G$8+'NAV Rollforward'!$H$8-'Mgmt Fee Schedule'!$G$8)*'LP Register'!$F$18</f>
        <v>39551.5792000001</v>
      </c>
      <c r="M78" s="25" t="n">
        <f aca="false">-('Distribution Waterfall'!$Q$8+'Distribution Waterfall'!$U$8)*'LP Register'!$F$18</f>
        <v>-0</v>
      </c>
      <c r="N78" s="26" t="n">
        <f aca="false">F78+G78-K78+L78+M78</f>
        <v>929554.79232</v>
      </c>
      <c r="O78" s="7" t="str">
        <f aca="false">B78&amp;"|"&amp;D78</f>
        <v>5|LP-15</v>
      </c>
    </row>
    <row r="79" customFormat="false" ht="15" hidden="false" customHeight="true" outlineLevel="0" collapsed="false">
      <c r="B79" s="7" t="n">
        <v>6</v>
      </c>
      <c r="C79" s="9" t="str">
        <f aca="false">Quarters!$E$9</f>
        <v>Q2 2023</v>
      </c>
      <c r="D79" s="7" t="s">
        <v>97</v>
      </c>
      <c r="E79" s="7" t="s">
        <v>98</v>
      </c>
      <c r="F79" s="22" t="n">
        <f aca="false">N64</f>
        <v>4647773.9616</v>
      </c>
      <c r="G79" s="25" t="n">
        <f aca="false">'LP Capital Calls'!$H$79</f>
        <v>840000</v>
      </c>
      <c r="H79" s="25" t="n">
        <f aca="false">'Distribution Waterfall'!$L$9*'LP Register'!$F$4</f>
        <v>0</v>
      </c>
      <c r="I79" s="25" t="n">
        <f aca="false">'Distribution Waterfall'!$N$9*'LP Register'!$F$4</f>
        <v>0</v>
      </c>
      <c r="J79" s="25" t="n">
        <f aca="false">'Distribution Waterfall'!$T$9*'LP Register'!$F$4</f>
        <v>0</v>
      </c>
      <c r="K79" s="26" t="n">
        <f aca="false">H79+I79+J79</f>
        <v>0</v>
      </c>
      <c r="L79" s="25" t="n">
        <f aca="false">('NAV Rollforward'!$G$9+'NAV Rollforward'!$H$9-'Mgmt Fee Schedule'!$G$9)*'LP Register'!$F$4</f>
        <v>146209.6848</v>
      </c>
      <c r="M79" s="25" t="n">
        <f aca="false">-('Distribution Waterfall'!$Q$9+'Distribution Waterfall'!$U$9)*'LP Register'!$F$4</f>
        <v>-0</v>
      </c>
      <c r="N79" s="26" t="n">
        <f aca="false">F79+G79-K79+L79+M79</f>
        <v>5633983.6464</v>
      </c>
      <c r="O79" s="7" t="str">
        <f aca="false">B79&amp;"|"&amp;D79</f>
        <v>6|LP-01</v>
      </c>
    </row>
    <row r="80" customFormat="false" ht="15" hidden="false" customHeight="true" outlineLevel="0" collapsed="false">
      <c r="B80" s="7" t="n">
        <v>6</v>
      </c>
      <c r="C80" s="9" t="str">
        <f aca="false">Quarters!$E$9</f>
        <v>Q2 2023</v>
      </c>
      <c r="D80" s="7" t="s">
        <v>100</v>
      </c>
      <c r="E80" s="7" t="s">
        <v>101</v>
      </c>
      <c r="F80" s="22" t="n">
        <f aca="false">N65</f>
        <v>3485830.4712</v>
      </c>
      <c r="G80" s="25" t="n">
        <f aca="false">'LP Capital Calls'!$H$80</f>
        <v>630000</v>
      </c>
      <c r="H80" s="25" t="n">
        <f aca="false">'Distribution Waterfall'!$L$9*'LP Register'!$F$5</f>
        <v>0</v>
      </c>
      <c r="I80" s="25" t="n">
        <f aca="false">'Distribution Waterfall'!$N$9*'LP Register'!$F$5</f>
        <v>0</v>
      </c>
      <c r="J80" s="25" t="n">
        <f aca="false">'Distribution Waterfall'!$T$9*'LP Register'!$F$5</f>
        <v>0</v>
      </c>
      <c r="K80" s="26" t="n">
        <f aca="false">H80+I80+J80</f>
        <v>0</v>
      </c>
      <c r="L80" s="25" t="n">
        <f aca="false">('NAV Rollforward'!$G$9+'NAV Rollforward'!$H$9-'Mgmt Fee Schedule'!$G$9)*'LP Register'!$F$5</f>
        <v>109657.2636</v>
      </c>
      <c r="M80" s="25" t="n">
        <f aca="false">-('Distribution Waterfall'!$Q$9+'Distribution Waterfall'!$U$9)*'LP Register'!$F$5</f>
        <v>-0</v>
      </c>
      <c r="N80" s="26" t="n">
        <f aca="false">F80+G80-K80+L80+M80</f>
        <v>4225487.7348</v>
      </c>
      <c r="O80" s="7" t="str">
        <f aca="false">B80&amp;"|"&amp;D80</f>
        <v>6|LP-02</v>
      </c>
    </row>
    <row r="81" customFormat="false" ht="15" hidden="false" customHeight="true" outlineLevel="0" collapsed="false">
      <c r="B81" s="7" t="n">
        <v>6</v>
      </c>
      <c r="C81" s="9" t="str">
        <f aca="false">Quarters!$E$9</f>
        <v>Q2 2023</v>
      </c>
      <c r="D81" s="7" t="s">
        <v>103</v>
      </c>
      <c r="E81" s="7" t="s">
        <v>104</v>
      </c>
      <c r="F81" s="22" t="n">
        <f aca="false">N66</f>
        <v>3195344.5986</v>
      </c>
      <c r="G81" s="25" t="n">
        <f aca="false">'LP Capital Calls'!$H$81</f>
        <v>577500</v>
      </c>
      <c r="H81" s="25" t="n">
        <f aca="false">'Distribution Waterfall'!$L$9*'LP Register'!$F$6</f>
        <v>0</v>
      </c>
      <c r="I81" s="25" t="n">
        <f aca="false">'Distribution Waterfall'!$N$9*'LP Register'!$F$6</f>
        <v>0</v>
      </c>
      <c r="J81" s="25" t="n">
        <f aca="false">'Distribution Waterfall'!$T$9*'LP Register'!$F$6</f>
        <v>0</v>
      </c>
      <c r="K81" s="26" t="n">
        <f aca="false">H81+I81+J81</f>
        <v>0</v>
      </c>
      <c r="L81" s="25" t="n">
        <f aca="false">('NAV Rollforward'!$G$9+'NAV Rollforward'!$H$9-'Mgmt Fee Schedule'!$G$9)*'LP Register'!$F$6</f>
        <v>100519.1583</v>
      </c>
      <c r="M81" s="25" t="n">
        <f aca="false">-('Distribution Waterfall'!$Q$9+'Distribution Waterfall'!$U$9)*'LP Register'!$F$6</f>
        <v>-0</v>
      </c>
      <c r="N81" s="26" t="n">
        <f aca="false">F81+G81-K81+L81+M81</f>
        <v>3873363.7569</v>
      </c>
      <c r="O81" s="7" t="str">
        <f aca="false">B81&amp;"|"&amp;D81</f>
        <v>6|LP-03</v>
      </c>
    </row>
    <row r="82" customFormat="false" ht="15" hidden="false" customHeight="true" outlineLevel="0" collapsed="false">
      <c r="B82" s="7" t="n">
        <v>6</v>
      </c>
      <c r="C82" s="9" t="str">
        <f aca="false">Quarters!$E$9</f>
        <v>Q2 2023</v>
      </c>
      <c r="D82" s="7" t="s">
        <v>106</v>
      </c>
      <c r="E82" s="7" t="s">
        <v>107</v>
      </c>
      <c r="F82" s="22" t="n">
        <f aca="false">N67</f>
        <v>2904858.726</v>
      </c>
      <c r="G82" s="25" t="n">
        <f aca="false">'LP Capital Calls'!$H$82</f>
        <v>525000</v>
      </c>
      <c r="H82" s="25" t="n">
        <f aca="false">'Distribution Waterfall'!$L$9*'LP Register'!$F$7</f>
        <v>0</v>
      </c>
      <c r="I82" s="25" t="n">
        <f aca="false">'Distribution Waterfall'!$N$9*'LP Register'!$F$7</f>
        <v>0</v>
      </c>
      <c r="J82" s="25" t="n">
        <f aca="false">'Distribution Waterfall'!$T$9*'LP Register'!$F$7</f>
        <v>0</v>
      </c>
      <c r="K82" s="26" t="n">
        <f aca="false">H82+I82+J82</f>
        <v>0</v>
      </c>
      <c r="L82" s="25" t="n">
        <f aca="false">('NAV Rollforward'!$G$9+'NAV Rollforward'!$H$9-'Mgmt Fee Schedule'!$G$9)*'LP Register'!$F$7</f>
        <v>91381.0529999998</v>
      </c>
      <c r="M82" s="25" t="n">
        <f aca="false">-('Distribution Waterfall'!$Q$9+'Distribution Waterfall'!$U$9)*'LP Register'!$F$7</f>
        <v>-0</v>
      </c>
      <c r="N82" s="26" t="n">
        <f aca="false">F82+G82-K82+L82+M82</f>
        <v>3521239.779</v>
      </c>
      <c r="O82" s="7" t="str">
        <f aca="false">B82&amp;"|"&amp;D82</f>
        <v>6|LP-04</v>
      </c>
    </row>
    <row r="83" customFormat="false" ht="15" hidden="false" customHeight="true" outlineLevel="0" collapsed="false">
      <c r="B83" s="7" t="n">
        <v>6</v>
      </c>
      <c r="C83" s="9" t="str">
        <f aca="false">Quarters!$E$9</f>
        <v>Q2 2023</v>
      </c>
      <c r="D83" s="7" t="s">
        <v>109</v>
      </c>
      <c r="E83" s="7" t="s">
        <v>110</v>
      </c>
      <c r="F83" s="22" t="n">
        <f aca="false">N68</f>
        <v>2323886.9808</v>
      </c>
      <c r="G83" s="25" t="n">
        <f aca="false">'LP Capital Calls'!$H$83</f>
        <v>420000</v>
      </c>
      <c r="H83" s="25" t="n">
        <f aca="false">'Distribution Waterfall'!$L$9*'LP Register'!$F$8</f>
        <v>0</v>
      </c>
      <c r="I83" s="25" t="n">
        <f aca="false">'Distribution Waterfall'!$N$9*'LP Register'!$F$8</f>
        <v>0</v>
      </c>
      <c r="J83" s="25" t="n">
        <f aca="false">'Distribution Waterfall'!$T$9*'LP Register'!$F$8</f>
        <v>0</v>
      </c>
      <c r="K83" s="26" t="n">
        <f aca="false">H83+I83+J83</f>
        <v>0</v>
      </c>
      <c r="L83" s="25" t="n">
        <f aca="false">('NAV Rollforward'!$G$9+'NAV Rollforward'!$H$9-'Mgmt Fee Schedule'!$G$9)*'LP Register'!$F$8</f>
        <v>73104.8423999998</v>
      </c>
      <c r="M83" s="25" t="n">
        <f aca="false">-('Distribution Waterfall'!$Q$9+'Distribution Waterfall'!$U$9)*'LP Register'!$F$8</f>
        <v>-0</v>
      </c>
      <c r="N83" s="26" t="n">
        <f aca="false">F83+G83-K83+L83+M83</f>
        <v>2816991.8232</v>
      </c>
      <c r="O83" s="7" t="str">
        <f aca="false">B83&amp;"|"&amp;D83</f>
        <v>6|LP-05</v>
      </c>
    </row>
    <row r="84" customFormat="false" ht="15" hidden="false" customHeight="true" outlineLevel="0" collapsed="false">
      <c r="B84" s="7" t="n">
        <v>6</v>
      </c>
      <c r="C84" s="9" t="str">
        <f aca="false">Quarters!$E$9</f>
        <v>Q2 2023</v>
      </c>
      <c r="D84" s="7" t="s">
        <v>112</v>
      </c>
      <c r="E84" s="7" t="s">
        <v>113</v>
      </c>
      <c r="F84" s="22" t="n">
        <f aca="false">N69</f>
        <v>2323886.9808</v>
      </c>
      <c r="G84" s="25" t="n">
        <f aca="false">'LP Capital Calls'!$H$84</f>
        <v>420000</v>
      </c>
      <c r="H84" s="25" t="n">
        <f aca="false">'Distribution Waterfall'!$L$9*'LP Register'!$F$9</f>
        <v>0</v>
      </c>
      <c r="I84" s="25" t="n">
        <f aca="false">'Distribution Waterfall'!$N$9*'LP Register'!$F$9</f>
        <v>0</v>
      </c>
      <c r="J84" s="25" t="n">
        <f aca="false">'Distribution Waterfall'!$T$9*'LP Register'!$F$9</f>
        <v>0</v>
      </c>
      <c r="K84" s="26" t="n">
        <f aca="false">H84+I84+J84</f>
        <v>0</v>
      </c>
      <c r="L84" s="25" t="n">
        <f aca="false">('NAV Rollforward'!$G$9+'NAV Rollforward'!$H$9-'Mgmt Fee Schedule'!$G$9)*'LP Register'!$F$9</f>
        <v>73104.8423999998</v>
      </c>
      <c r="M84" s="25" t="n">
        <f aca="false">-('Distribution Waterfall'!$Q$9+'Distribution Waterfall'!$U$9)*'LP Register'!$F$9</f>
        <v>-0</v>
      </c>
      <c r="N84" s="26" t="n">
        <f aca="false">F84+G84-K84+L84+M84</f>
        <v>2816991.8232</v>
      </c>
      <c r="O84" s="7" t="str">
        <f aca="false">B84&amp;"|"&amp;D84</f>
        <v>6|LP-06</v>
      </c>
    </row>
    <row r="85" customFormat="false" ht="15" hidden="false" customHeight="true" outlineLevel="0" collapsed="false">
      <c r="B85" s="7" t="n">
        <v>6</v>
      </c>
      <c r="C85" s="9" t="str">
        <f aca="false">Quarters!$E$9</f>
        <v>Q2 2023</v>
      </c>
      <c r="D85" s="7" t="s">
        <v>115</v>
      </c>
      <c r="E85" s="7" t="s">
        <v>116</v>
      </c>
      <c r="F85" s="22" t="n">
        <f aca="false">N70</f>
        <v>1742915.2356</v>
      </c>
      <c r="G85" s="25" t="n">
        <f aca="false">'LP Capital Calls'!$H$85</f>
        <v>315000</v>
      </c>
      <c r="H85" s="25" t="n">
        <f aca="false">'Distribution Waterfall'!$L$9*'LP Register'!$F$10</f>
        <v>0</v>
      </c>
      <c r="I85" s="25" t="n">
        <f aca="false">'Distribution Waterfall'!$N$9*'LP Register'!$F$10</f>
        <v>0</v>
      </c>
      <c r="J85" s="25" t="n">
        <f aca="false">'Distribution Waterfall'!$T$9*'LP Register'!$F$10</f>
        <v>0</v>
      </c>
      <c r="K85" s="26" t="n">
        <f aca="false">H85+I85+J85</f>
        <v>0</v>
      </c>
      <c r="L85" s="25" t="n">
        <f aca="false">('NAV Rollforward'!$G$9+'NAV Rollforward'!$H$9-'Mgmt Fee Schedule'!$G$9)*'LP Register'!$F$10</f>
        <v>54828.6317999998</v>
      </c>
      <c r="M85" s="25" t="n">
        <f aca="false">-('Distribution Waterfall'!$Q$9+'Distribution Waterfall'!$U$9)*'LP Register'!$F$10</f>
        <v>-0</v>
      </c>
      <c r="N85" s="26" t="n">
        <f aca="false">F85+G85-K85+L85+M85</f>
        <v>2112743.8674</v>
      </c>
      <c r="O85" s="7" t="str">
        <f aca="false">B85&amp;"|"&amp;D85</f>
        <v>6|LP-07</v>
      </c>
    </row>
    <row r="86" customFormat="false" ht="15" hidden="false" customHeight="true" outlineLevel="0" collapsed="false">
      <c r="B86" s="7" t="n">
        <v>6</v>
      </c>
      <c r="C86" s="9" t="str">
        <f aca="false">Quarters!$E$9</f>
        <v>Q2 2023</v>
      </c>
      <c r="D86" s="7" t="s">
        <v>117</v>
      </c>
      <c r="E86" s="7" t="s">
        <v>118</v>
      </c>
      <c r="F86" s="22" t="n">
        <f aca="false">N71</f>
        <v>1452429.363</v>
      </c>
      <c r="G86" s="25" t="n">
        <f aca="false">'LP Capital Calls'!$H$86</f>
        <v>262500</v>
      </c>
      <c r="H86" s="25" t="n">
        <f aca="false">'Distribution Waterfall'!$L$9*'LP Register'!$F$11</f>
        <v>0</v>
      </c>
      <c r="I86" s="25" t="n">
        <f aca="false">'Distribution Waterfall'!$N$9*'LP Register'!$F$11</f>
        <v>0</v>
      </c>
      <c r="J86" s="25" t="n">
        <f aca="false">'Distribution Waterfall'!$T$9*'LP Register'!$F$11</f>
        <v>0</v>
      </c>
      <c r="K86" s="26" t="n">
        <f aca="false">H86+I86+J86</f>
        <v>0</v>
      </c>
      <c r="L86" s="25" t="n">
        <f aca="false">('NAV Rollforward'!$G$9+'NAV Rollforward'!$H$9-'Mgmt Fee Schedule'!$G$9)*'LP Register'!$F$11</f>
        <v>45690.5264999999</v>
      </c>
      <c r="M86" s="25" t="n">
        <f aca="false">-('Distribution Waterfall'!$Q$9+'Distribution Waterfall'!$U$9)*'LP Register'!$F$11</f>
        <v>-0</v>
      </c>
      <c r="N86" s="26" t="n">
        <f aca="false">F86+G86-K86+L86+M86</f>
        <v>1760619.8895</v>
      </c>
      <c r="O86" s="7" t="str">
        <f aca="false">B86&amp;"|"&amp;D86</f>
        <v>6|LP-08</v>
      </c>
    </row>
    <row r="87" customFormat="false" ht="15" hidden="false" customHeight="true" outlineLevel="0" collapsed="false">
      <c r="B87" s="7" t="n">
        <v>6</v>
      </c>
      <c r="C87" s="9" t="str">
        <f aca="false">Quarters!$E$9</f>
        <v>Q2 2023</v>
      </c>
      <c r="D87" s="7" t="s">
        <v>119</v>
      </c>
      <c r="E87" s="7" t="s">
        <v>120</v>
      </c>
      <c r="F87" s="22" t="n">
        <f aca="false">N72</f>
        <v>1161943.4904</v>
      </c>
      <c r="G87" s="25" t="n">
        <f aca="false">'LP Capital Calls'!$H$87</f>
        <v>210000</v>
      </c>
      <c r="H87" s="25" t="n">
        <f aca="false">'Distribution Waterfall'!$L$9*'LP Register'!$F$12</f>
        <v>0</v>
      </c>
      <c r="I87" s="25" t="n">
        <f aca="false">'Distribution Waterfall'!$N$9*'LP Register'!$F$12</f>
        <v>0</v>
      </c>
      <c r="J87" s="25" t="n">
        <f aca="false">'Distribution Waterfall'!$T$9*'LP Register'!$F$12</f>
        <v>0</v>
      </c>
      <c r="K87" s="26" t="n">
        <f aca="false">H87+I87+J87</f>
        <v>0</v>
      </c>
      <c r="L87" s="25" t="n">
        <f aca="false">('NAV Rollforward'!$G$9+'NAV Rollforward'!$H$9-'Mgmt Fee Schedule'!$G$9)*'LP Register'!$F$12</f>
        <v>36552.4211999999</v>
      </c>
      <c r="M87" s="25" t="n">
        <f aca="false">-('Distribution Waterfall'!$Q$9+'Distribution Waterfall'!$U$9)*'LP Register'!$F$12</f>
        <v>-0</v>
      </c>
      <c r="N87" s="26" t="n">
        <f aca="false">F87+G87-K87+L87+M87</f>
        <v>1408495.9116</v>
      </c>
      <c r="O87" s="7" t="str">
        <f aca="false">B87&amp;"|"&amp;D87</f>
        <v>6|LP-09</v>
      </c>
    </row>
    <row r="88" customFormat="false" ht="15" hidden="false" customHeight="true" outlineLevel="0" collapsed="false">
      <c r="B88" s="7" t="n">
        <v>6</v>
      </c>
      <c r="C88" s="9" t="str">
        <f aca="false">Quarters!$E$9</f>
        <v>Q2 2023</v>
      </c>
      <c r="D88" s="7" t="s">
        <v>121</v>
      </c>
      <c r="E88" s="7" t="s">
        <v>122</v>
      </c>
      <c r="F88" s="22" t="n">
        <f aca="false">N73</f>
        <v>1161943.4904</v>
      </c>
      <c r="G88" s="25" t="n">
        <f aca="false">'LP Capital Calls'!$H$88</f>
        <v>210000</v>
      </c>
      <c r="H88" s="25" t="n">
        <f aca="false">'Distribution Waterfall'!$L$9*'LP Register'!$F$13</f>
        <v>0</v>
      </c>
      <c r="I88" s="25" t="n">
        <f aca="false">'Distribution Waterfall'!$N$9*'LP Register'!$F$13</f>
        <v>0</v>
      </c>
      <c r="J88" s="25" t="n">
        <f aca="false">'Distribution Waterfall'!$T$9*'LP Register'!$F$13</f>
        <v>0</v>
      </c>
      <c r="K88" s="26" t="n">
        <f aca="false">H88+I88+J88</f>
        <v>0</v>
      </c>
      <c r="L88" s="25" t="n">
        <f aca="false">('NAV Rollforward'!$G$9+'NAV Rollforward'!$H$9-'Mgmt Fee Schedule'!$G$9)*'LP Register'!$F$13</f>
        <v>36552.4211999999</v>
      </c>
      <c r="M88" s="25" t="n">
        <f aca="false">-('Distribution Waterfall'!$Q$9+'Distribution Waterfall'!$U$9)*'LP Register'!$F$13</f>
        <v>-0</v>
      </c>
      <c r="N88" s="26" t="n">
        <f aca="false">F88+G88-K88+L88+M88</f>
        <v>1408495.9116</v>
      </c>
      <c r="O88" s="7" t="str">
        <f aca="false">B88&amp;"|"&amp;D88</f>
        <v>6|LP-10</v>
      </c>
    </row>
    <row r="89" customFormat="false" ht="15" hidden="false" customHeight="true" outlineLevel="0" collapsed="false">
      <c r="B89" s="7" t="n">
        <v>6</v>
      </c>
      <c r="C89" s="9" t="str">
        <f aca="false">Quarters!$E$9</f>
        <v>Q2 2023</v>
      </c>
      <c r="D89" s="7" t="s">
        <v>124</v>
      </c>
      <c r="E89" s="7" t="s">
        <v>125</v>
      </c>
      <c r="F89" s="22" t="n">
        <f aca="false">N74</f>
        <v>1045749.14136</v>
      </c>
      <c r="G89" s="25" t="n">
        <f aca="false">'LP Capital Calls'!$H$89</f>
        <v>189000</v>
      </c>
      <c r="H89" s="25" t="n">
        <f aca="false">'Distribution Waterfall'!$L$9*'LP Register'!$F$14</f>
        <v>0</v>
      </c>
      <c r="I89" s="25" t="n">
        <f aca="false">'Distribution Waterfall'!$N$9*'LP Register'!$F$14</f>
        <v>0</v>
      </c>
      <c r="J89" s="25" t="n">
        <f aca="false">'Distribution Waterfall'!$T$9*'LP Register'!$F$14</f>
        <v>0</v>
      </c>
      <c r="K89" s="26" t="n">
        <f aca="false">H89+I89+J89</f>
        <v>0</v>
      </c>
      <c r="L89" s="25" t="n">
        <f aca="false">('NAV Rollforward'!$G$9+'NAV Rollforward'!$H$9-'Mgmt Fee Schedule'!$G$9)*'LP Register'!$F$14</f>
        <v>32897.1790799999</v>
      </c>
      <c r="M89" s="25" t="n">
        <f aca="false">-('Distribution Waterfall'!$Q$9+'Distribution Waterfall'!$U$9)*'LP Register'!$F$14</f>
        <v>-0</v>
      </c>
      <c r="N89" s="26" t="n">
        <f aca="false">F89+G89-K89+L89+M89</f>
        <v>1267646.32044</v>
      </c>
      <c r="O89" s="7" t="str">
        <f aca="false">B89&amp;"|"&amp;D89</f>
        <v>6|LP-11</v>
      </c>
    </row>
    <row r="90" customFormat="false" ht="15" hidden="false" customHeight="true" outlineLevel="0" collapsed="false">
      <c r="B90" s="7" t="n">
        <v>6</v>
      </c>
      <c r="C90" s="9" t="str">
        <f aca="false">Quarters!$E$9</f>
        <v>Q2 2023</v>
      </c>
      <c r="D90" s="7" t="s">
        <v>126</v>
      </c>
      <c r="E90" s="7" t="s">
        <v>127</v>
      </c>
      <c r="F90" s="22" t="n">
        <f aca="false">N75</f>
        <v>871457.6178</v>
      </c>
      <c r="G90" s="25" t="n">
        <f aca="false">'LP Capital Calls'!$H$90</f>
        <v>157500</v>
      </c>
      <c r="H90" s="25" t="n">
        <f aca="false">'Distribution Waterfall'!$L$9*'LP Register'!$F$15</f>
        <v>0</v>
      </c>
      <c r="I90" s="25" t="n">
        <f aca="false">'Distribution Waterfall'!$N$9*'LP Register'!$F$15</f>
        <v>0</v>
      </c>
      <c r="J90" s="25" t="n">
        <f aca="false">'Distribution Waterfall'!$T$9*'LP Register'!$F$15</f>
        <v>0</v>
      </c>
      <c r="K90" s="26" t="n">
        <f aca="false">H90+I90+J90</f>
        <v>0</v>
      </c>
      <c r="L90" s="25" t="n">
        <f aca="false">('NAV Rollforward'!$G$9+'NAV Rollforward'!$H$9-'Mgmt Fee Schedule'!$G$9)*'LP Register'!$F$15</f>
        <v>27414.3158999999</v>
      </c>
      <c r="M90" s="25" t="n">
        <f aca="false">-('Distribution Waterfall'!$Q$9+'Distribution Waterfall'!$U$9)*'LP Register'!$F$15</f>
        <v>-0</v>
      </c>
      <c r="N90" s="26" t="n">
        <f aca="false">F90+G90-K90+L90+M90</f>
        <v>1056371.9337</v>
      </c>
      <c r="O90" s="7" t="str">
        <f aca="false">B90&amp;"|"&amp;D90</f>
        <v>6|LP-12</v>
      </c>
    </row>
    <row r="91" customFormat="false" ht="15" hidden="false" customHeight="true" outlineLevel="0" collapsed="false">
      <c r="B91" s="7" t="n">
        <v>6</v>
      </c>
      <c r="C91" s="9" t="str">
        <f aca="false">Quarters!$E$9</f>
        <v>Q2 2023</v>
      </c>
      <c r="D91" s="7" t="s">
        <v>128</v>
      </c>
      <c r="E91" s="7" t="s">
        <v>129</v>
      </c>
      <c r="F91" s="22" t="n">
        <f aca="false">N76</f>
        <v>871457.6178</v>
      </c>
      <c r="G91" s="25" t="n">
        <f aca="false">'LP Capital Calls'!$H$91</f>
        <v>157500</v>
      </c>
      <c r="H91" s="25" t="n">
        <f aca="false">'Distribution Waterfall'!$L$9*'LP Register'!$F$16</f>
        <v>0</v>
      </c>
      <c r="I91" s="25" t="n">
        <f aca="false">'Distribution Waterfall'!$N$9*'LP Register'!$F$16</f>
        <v>0</v>
      </c>
      <c r="J91" s="25" t="n">
        <f aca="false">'Distribution Waterfall'!$T$9*'LP Register'!$F$16</f>
        <v>0</v>
      </c>
      <c r="K91" s="26" t="n">
        <f aca="false">H91+I91+J91</f>
        <v>0</v>
      </c>
      <c r="L91" s="25" t="n">
        <f aca="false">('NAV Rollforward'!$G$9+'NAV Rollforward'!$H$9-'Mgmt Fee Schedule'!$G$9)*'LP Register'!$F$16</f>
        <v>27414.3158999999</v>
      </c>
      <c r="M91" s="25" t="n">
        <f aca="false">-('Distribution Waterfall'!$Q$9+'Distribution Waterfall'!$U$9)*'LP Register'!$F$16</f>
        <v>-0</v>
      </c>
      <c r="N91" s="26" t="n">
        <f aca="false">F91+G91-K91+L91+M91</f>
        <v>1056371.9337</v>
      </c>
      <c r="O91" s="7" t="str">
        <f aca="false">B91&amp;"|"&amp;D91</f>
        <v>6|LP-13</v>
      </c>
    </row>
    <row r="92" customFormat="false" ht="15" hidden="false" customHeight="true" outlineLevel="0" collapsed="false">
      <c r="B92" s="7" t="n">
        <v>6</v>
      </c>
      <c r="C92" s="9" t="str">
        <f aca="false">Quarters!$E$9</f>
        <v>Q2 2023</v>
      </c>
      <c r="D92" s="7" t="s">
        <v>130</v>
      </c>
      <c r="E92" s="7" t="s">
        <v>131</v>
      </c>
      <c r="F92" s="22" t="n">
        <f aca="false">N77</f>
        <v>929554.79232</v>
      </c>
      <c r="G92" s="25" t="n">
        <f aca="false">'LP Capital Calls'!$H$92</f>
        <v>168000</v>
      </c>
      <c r="H92" s="25" t="n">
        <f aca="false">'Distribution Waterfall'!$L$9*'LP Register'!$F$17</f>
        <v>0</v>
      </c>
      <c r="I92" s="25" t="n">
        <f aca="false">'Distribution Waterfall'!$N$9*'LP Register'!$F$17</f>
        <v>0</v>
      </c>
      <c r="J92" s="25" t="n">
        <f aca="false">'Distribution Waterfall'!$T$9*'LP Register'!$F$17</f>
        <v>0</v>
      </c>
      <c r="K92" s="26" t="n">
        <f aca="false">H92+I92+J92</f>
        <v>0</v>
      </c>
      <c r="L92" s="25" t="n">
        <f aca="false">('NAV Rollforward'!$G$9+'NAV Rollforward'!$H$9-'Mgmt Fee Schedule'!$G$9)*'LP Register'!$F$17</f>
        <v>29241.9369599999</v>
      </c>
      <c r="M92" s="25" t="n">
        <f aca="false">-('Distribution Waterfall'!$Q$9+'Distribution Waterfall'!$U$9)*'LP Register'!$F$17</f>
        <v>-0</v>
      </c>
      <c r="N92" s="26" t="n">
        <f aca="false">F92+G92-K92+L92+M92</f>
        <v>1126796.72928</v>
      </c>
      <c r="O92" s="7" t="str">
        <f aca="false">B92&amp;"|"&amp;D92</f>
        <v>6|LP-14</v>
      </c>
    </row>
    <row r="93" customFormat="false" ht="15" hidden="false" customHeight="true" outlineLevel="0" collapsed="false">
      <c r="B93" s="7" t="n">
        <v>6</v>
      </c>
      <c r="C93" s="9" t="str">
        <f aca="false">Quarters!$E$9</f>
        <v>Q2 2023</v>
      </c>
      <c r="D93" s="7" t="s">
        <v>132</v>
      </c>
      <c r="E93" s="7" t="s">
        <v>133</v>
      </c>
      <c r="F93" s="22" t="n">
        <f aca="false">N78</f>
        <v>929554.79232</v>
      </c>
      <c r="G93" s="25" t="n">
        <f aca="false">'LP Capital Calls'!$H$93</f>
        <v>168000</v>
      </c>
      <c r="H93" s="25" t="n">
        <f aca="false">'Distribution Waterfall'!$L$9*'LP Register'!$F$18</f>
        <v>0</v>
      </c>
      <c r="I93" s="25" t="n">
        <f aca="false">'Distribution Waterfall'!$N$9*'LP Register'!$F$18</f>
        <v>0</v>
      </c>
      <c r="J93" s="25" t="n">
        <f aca="false">'Distribution Waterfall'!$T$9*'LP Register'!$F$18</f>
        <v>0</v>
      </c>
      <c r="K93" s="26" t="n">
        <f aca="false">H93+I93+J93</f>
        <v>0</v>
      </c>
      <c r="L93" s="25" t="n">
        <f aca="false">('NAV Rollforward'!$G$9+'NAV Rollforward'!$H$9-'Mgmt Fee Schedule'!$G$9)*'LP Register'!$F$18</f>
        <v>29241.9369599999</v>
      </c>
      <c r="M93" s="25" t="n">
        <f aca="false">-('Distribution Waterfall'!$Q$9+'Distribution Waterfall'!$U$9)*'LP Register'!$F$18</f>
        <v>-0</v>
      </c>
      <c r="N93" s="26" t="n">
        <f aca="false">F93+G93-K93+L93+M93</f>
        <v>1126796.72928</v>
      </c>
      <c r="O93" s="7" t="str">
        <f aca="false">B93&amp;"|"&amp;D93</f>
        <v>6|LP-15</v>
      </c>
    </row>
    <row r="94" customFormat="false" ht="15" hidden="false" customHeight="true" outlineLevel="0" collapsed="false">
      <c r="B94" s="7" t="n">
        <v>7</v>
      </c>
      <c r="C94" s="9" t="str">
        <f aca="false">Quarters!$E$10</f>
        <v>Q3 2023</v>
      </c>
      <c r="D94" s="7" t="s">
        <v>97</v>
      </c>
      <c r="E94" s="7" t="s">
        <v>98</v>
      </c>
      <c r="F94" s="22" t="n">
        <f aca="false">N79</f>
        <v>5633983.6464</v>
      </c>
      <c r="G94" s="25" t="n">
        <f aca="false">'LP Capital Calls'!$H$94</f>
        <v>760000</v>
      </c>
      <c r="H94" s="25" t="n">
        <f aca="false">'Distribution Waterfall'!$L$10*'LP Register'!$F$4</f>
        <v>0</v>
      </c>
      <c r="I94" s="25" t="n">
        <f aca="false">'Distribution Waterfall'!$N$10*'LP Register'!$F$4</f>
        <v>0</v>
      </c>
      <c r="J94" s="25" t="n">
        <f aca="false">'Distribution Waterfall'!$T$10*'LP Register'!$F$4</f>
        <v>0</v>
      </c>
      <c r="K94" s="26" t="n">
        <f aca="false">H94+I94+J94</f>
        <v>0</v>
      </c>
      <c r="L94" s="25" t="n">
        <f aca="false">('NAV Rollforward'!$G$10+'NAV Rollforward'!$H$10-'Mgmt Fee Schedule'!$G$10)*'LP Register'!$F$4</f>
        <v>289461.548799999</v>
      </c>
      <c r="M94" s="25" t="n">
        <f aca="false">-('Distribution Waterfall'!$Q$10+'Distribution Waterfall'!$U$10)*'LP Register'!$F$4</f>
        <v>-0</v>
      </c>
      <c r="N94" s="26" t="n">
        <f aca="false">F94+G94-K94+L94+M94</f>
        <v>6683445.1952</v>
      </c>
      <c r="O94" s="7" t="str">
        <f aca="false">B94&amp;"|"&amp;D94</f>
        <v>7|LP-01</v>
      </c>
    </row>
    <row r="95" customFormat="false" ht="15" hidden="false" customHeight="true" outlineLevel="0" collapsed="false">
      <c r="B95" s="7" t="n">
        <v>7</v>
      </c>
      <c r="C95" s="9" t="str">
        <f aca="false">Quarters!$E$10</f>
        <v>Q3 2023</v>
      </c>
      <c r="D95" s="7" t="s">
        <v>100</v>
      </c>
      <c r="E95" s="7" t="s">
        <v>101</v>
      </c>
      <c r="F95" s="22" t="n">
        <f aca="false">N80</f>
        <v>4225487.7348</v>
      </c>
      <c r="G95" s="25" t="n">
        <f aca="false">'LP Capital Calls'!$H$95</f>
        <v>570000</v>
      </c>
      <c r="H95" s="25" t="n">
        <f aca="false">'Distribution Waterfall'!$L$10*'LP Register'!$F$5</f>
        <v>0</v>
      </c>
      <c r="I95" s="25" t="n">
        <f aca="false">'Distribution Waterfall'!$N$10*'LP Register'!$F$5</f>
        <v>0</v>
      </c>
      <c r="J95" s="25" t="n">
        <f aca="false">'Distribution Waterfall'!$T$10*'LP Register'!$F$5</f>
        <v>0</v>
      </c>
      <c r="K95" s="26" t="n">
        <f aca="false">H95+I95+J95</f>
        <v>0</v>
      </c>
      <c r="L95" s="25" t="n">
        <f aca="false">('NAV Rollforward'!$G$10+'NAV Rollforward'!$H$10-'Mgmt Fee Schedule'!$G$10)*'LP Register'!$F$5</f>
        <v>217096.161599999</v>
      </c>
      <c r="M95" s="25" t="n">
        <f aca="false">-('Distribution Waterfall'!$Q$10+'Distribution Waterfall'!$U$10)*'LP Register'!$F$5</f>
        <v>-0</v>
      </c>
      <c r="N95" s="26" t="n">
        <f aca="false">F95+G95-K95+L95+M95</f>
        <v>5012583.8964</v>
      </c>
      <c r="O95" s="7" t="str">
        <f aca="false">B95&amp;"|"&amp;D95</f>
        <v>7|LP-02</v>
      </c>
    </row>
    <row r="96" customFormat="false" ht="15" hidden="false" customHeight="true" outlineLevel="0" collapsed="false">
      <c r="B96" s="7" t="n">
        <v>7</v>
      </c>
      <c r="C96" s="9" t="str">
        <f aca="false">Quarters!$E$10</f>
        <v>Q3 2023</v>
      </c>
      <c r="D96" s="7" t="s">
        <v>103</v>
      </c>
      <c r="E96" s="7" t="s">
        <v>104</v>
      </c>
      <c r="F96" s="22" t="n">
        <f aca="false">N81</f>
        <v>3873363.7569</v>
      </c>
      <c r="G96" s="25" t="n">
        <f aca="false">'LP Capital Calls'!$H$96</f>
        <v>522500</v>
      </c>
      <c r="H96" s="25" t="n">
        <f aca="false">'Distribution Waterfall'!$L$10*'LP Register'!$F$6</f>
        <v>0</v>
      </c>
      <c r="I96" s="25" t="n">
        <f aca="false">'Distribution Waterfall'!$N$10*'LP Register'!$F$6</f>
        <v>0</v>
      </c>
      <c r="J96" s="25" t="n">
        <f aca="false">'Distribution Waterfall'!$T$10*'LP Register'!$F$6</f>
        <v>0</v>
      </c>
      <c r="K96" s="26" t="n">
        <f aca="false">H96+I96+J96</f>
        <v>0</v>
      </c>
      <c r="L96" s="25" t="n">
        <f aca="false">('NAV Rollforward'!$G$10+'NAV Rollforward'!$H$10-'Mgmt Fee Schedule'!$G$10)*'LP Register'!$F$6</f>
        <v>199004.814799999</v>
      </c>
      <c r="M96" s="25" t="n">
        <f aca="false">-('Distribution Waterfall'!$Q$10+'Distribution Waterfall'!$U$10)*'LP Register'!$F$6</f>
        <v>-0</v>
      </c>
      <c r="N96" s="26" t="n">
        <f aca="false">F96+G96-K96+L96+M96</f>
        <v>4594868.5717</v>
      </c>
      <c r="O96" s="7" t="str">
        <f aca="false">B96&amp;"|"&amp;D96</f>
        <v>7|LP-03</v>
      </c>
    </row>
    <row r="97" customFormat="false" ht="15" hidden="false" customHeight="true" outlineLevel="0" collapsed="false">
      <c r="B97" s="7" t="n">
        <v>7</v>
      </c>
      <c r="C97" s="9" t="str">
        <f aca="false">Quarters!$E$10</f>
        <v>Q3 2023</v>
      </c>
      <c r="D97" s="7" t="s">
        <v>106</v>
      </c>
      <c r="E97" s="7" t="s">
        <v>107</v>
      </c>
      <c r="F97" s="22" t="n">
        <f aca="false">N82</f>
        <v>3521239.779</v>
      </c>
      <c r="G97" s="25" t="n">
        <f aca="false">'LP Capital Calls'!$H$97</f>
        <v>475000</v>
      </c>
      <c r="H97" s="25" t="n">
        <f aca="false">'Distribution Waterfall'!$L$10*'LP Register'!$F$7</f>
        <v>0</v>
      </c>
      <c r="I97" s="25" t="n">
        <f aca="false">'Distribution Waterfall'!$N$10*'LP Register'!$F$7</f>
        <v>0</v>
      </c>
      <c r="J97" s="25" t="n">
        <f aca="false">'Distribution Waterfall'!$T$10*'LP Register'!$F$7</f>
        <v>0</v>
      </c>
      <c r="K97" s="26" t="n">
        <f aca="false">H97+I97+J97</f>
        <v>0</v>
      </c>
      <c r="L97" s="25" t="n">
        <f aca="false">('NAV Rollforward'!$G$10+'NAV Rollforward'!$H$10-'Mgmt Fee Schedule'!$G$10)*'LP Register'!$F$7</f>
        <v>180913.467999999</v>
      </c>
      <c r="M97" s="25" t="n">
        <f aca="false">-('Distribution Waterfall'!$Q$10+'Distribution Waterfall'!$U$10)*'LP Register'!$F$7</f>
        <v>-0</v>
      </c>
      <c r="N97" s="26" t="n">
        <f aca="false">F97+G97-K97+L97+M97</f>
        <v>4177153.247</v>
      </c>
      <c r="O97" s="7" t="str">
        <f aca="false">B97&amp;"|"&amp;D97</f>
        <v>7|LP-04</v>
      </c>
    </row>
    <row r="98" customFormat="false" ht="15" hidden="false" customHeight="true" outlineLevel="0" collapsed="false">
      <c r="B98" s="7" t="n">
        <v>7</v>
      </c>
      <c r="C98" s="9" t="str">
        <f aca="false">Quarters!$E$10</f>
        <v>Q3 2023</v>
      </c>
      <c r="D98" s="7" t="s">
        <v>109</v>
      </c>
      <c r="E98" s="7" t="s">
        <v>110</v>
      </c>
      <c r="F98" s="22" t="n">
        <f aca="false">N83</f>
        <v>2816991.8232</v>
      </c>
      <c r="G98" s="25" t="n">
        <f aca="false">'LP Capital Calls'!$H$98</f>
        <v>380000</v>
      </c>
      <c r="H98" s="25" t="n">
        <f aca="false">'Distribution Waterfall'!$L$10*'LP Register'!$F$8</f>
        <v>0</v>
      </c>
      <c r="I98" s="25" t="n">
        <f aca="false">'Distribution Waterfall'!$N$10*'LP Register'!$F$8</f>
        <v>0</v>
      </c>
      <c r="J98" s="25" t="n">
        <f aca="false">'Distribution Waterfall'!$T$10*'LP Register'!$F$8</f>
        <v>0</v>
      </c>
      <c r="K98" s="26" t="n">
        <f aca="false">H98+I98+J98</f>
        <v>0</v>
      </c>
      <c r="L98" s="25" t="n">
        <f aca="false">('NAV Rollforward'!$G$10+'NAV Rollforward'!$H$10-'Mgmt Fee Schedule'!$G$10)*'LP Register'!$F$8</f>
        <v>144730.774399999</v>
      </c>
      <c r="M98" s="25" t="n">
        <f aca="false">-('Distribution Waterfall'!$Q$10+'Distribution Waterfall'!$U$10)*'LP Register'!$F$8</f>
        <v>-0</v>
      </c>
      <c r="N98" s="26" t="n">
        <f aca="false">F98+G98-K98+L98+M98</f>
        <v>3341722.5976</v>
      </c>
      <c r="O98" s="7" t="str">
        <f aca="false">B98&amp;"|"&amp;D98</f>
        <v>7|LP-05</v>
      </c>
    </row>
    <row r="99" customFormat="false" ht="15" hidden="false" customHeight="true" outlineLevel="0" collapsed="false">
      <c r="B99" s="7" t="n">
        <v>7</v>
      </c>
      <c r="C99" s="9" t="str">
        <f aca="false">Quarters!$E$10</f>
        <v>Q3 2023</v>
      </c>
      <c r="D99" s="7" t="s">
        <v>112</v>
      </c>
      <c r="E99" s="7" t="s">
        <v>113</v>
      </c>
      <c r="F99" s="22" t="n">
        <f aca="false">N84</f>
        <v>2816991.8232</v>
      </c>
      <c r="G99" s="25" t="n">
        <f aca="false">'LP Capital Calls'!$H$99</f>
        <v>380000</v>
      </c>
      <c r="H99" s="25" t="n">
        <f aca="false">'Distribution Waterfall'!$L$10*'LP Register'!$F$9</f>
        <v>0</v>
      </c>
      <c r="I99" s="25" t="n">
        <f aca="false">'Distribution Waterfall'!$N$10*'LP Register'!$F$9</f>
        <v>0</v>
      </c>
      <c r="J99" s="25" t="n">
        <f aca="false">'Distribution Waterfall'!$T$10*'LP Register'!$F$9</f>
        <v>0</v>
      </c>
      <c r="K99" s="26" t="n">
        <f aca="false">H99+I99+J99</f>
        <v>0</v>
      </c>
      <c r="L99" s="25" t="n">
        <f aca="false">('NAV Rollforward'!$G$10+'NAV Rollforward'!$H$10-'Mgmt Fee Schedule'!$G$10)*'LP Register'!$F$9</f>
        <v>144730.774399999</v>
      </c>
      <c r="M99" s="25" t="n">
        <f aca="false">-('Distribution Waterfall'!$Q$10+'Distribution Waterfall'!$U$10)*'LP Register'!$F$9</f>
        <v>-0</v>
      </c>
      <c r="N99" s="26" t="n">
        <f aca="false">F99+G99-K99+L99+M99</f>
        <v>3341722.5976</v>
      </c>
      <c r="O99" s="7" t="str">
        <f aca="false">B99&amp;"|"&amp;D99</f>
        <v>7|LP-06</v>
      </c>
    </row>
    <row r="100" customFormat="false" ht="15" hidden="false" customHeight="true" outlineLevel="0" collapsed="false">
      <c r="B100" s="7" t="n">
        <v>7</v>
      </c>
      <c r="C100" s="9" t="str">
        <f aca="false">Quarters!$E$10</f>
        <v>Q3 2023</v>
      </c>
      <c r="D100" s="7" t="s">
        <v>115</v>
      </c>
      <c r="E100" s="7" t="s">
        <v>116</v>
      </c>
      <c r="F100" s="22" t="n">
        <f aca="false">N85</f>
        <v>2112743.8674</v>
      </c>
      <c r="G100" s="25" t="n">
        <f aca="false">'LP Capital Calls'!$H$100</f>
        <v>285000</v>
      </c>
      <c r="H100" s="25" t="n">
        <f aca="false">'Distribution Waterfall'!$L$10*'LP Register'!$F$10</f>
        <v>0</v>
      </c>
      <c r="I100" s="25" t="n">
        <f aca="false">'Distribution Waterfall'!$N$10*'LP Register'!$F$10</f>
        <v>0</v>
      </c>
      <c r="J100" s="25" t="n">
        <f aca="false">'Distribution Waterfall'!$T$10*'LP Register'!$F$10</f>
        <v>0</v>
      </c>
      <c r="K100" s="26" t="n">
        <f aca="false">H100+I100+J100</f>
        <v>0</v>
      </c>
      <c r="L100" s="25" t="n">
        <f aca="false">('NAV Rollforward'!$G$10+'NAV Rollforward'!$H$10-'Mgmt Fee Schedule'!$G$10)*'LP Register'!$F$10</f>
        <v>108548.0808</v>
      </c>
      <c r="M100" s="25" t="n">
        <f aca="false">-('Distribution Waterfall'!$Q$10+'Distribution Waterfall'!$U$10)*'LP Register'!$F$10</f>
        <v>-0</v>
      </c>
      <c r="N100" s="26" t="n">
        <f aca="false">F100+G100-K100+L100+M100</f>
        <v>2506291.9482</v>
      </c>
      <c r="O100" s="7" t="str">
        <f aca="false">B100&amp;"|"&amp;D100</f>
        <v>7|LP-07</v>
      </c>
    </row>
    <row r="101" customFormat="false" ht="15" hidden="false" customHeight="true" outlineLevel="0" collapsed="false">
      <c r="B101" s="7" t="n">
        <v>7</v>
      </c>
      <c r="C101" s="9" t="str">
        <f aca="false">Quarters!$E$10</f>
        <v>Q3 2023</v>
      </c>
      <c r="D101" s="7" t="s">
        <v>117</v>
      </c>
      <c r="E101" s="7" t="s">
        <v>118</v>
      </c>
      <c r="F101" s="22" t="n">
        <f aca="false">N86</f>
        <v>1760619.8895</v>
      </c>
      <c r="G101" s="25" t="n">
        <f aca="false">'LP Capital Calls'!$H$101</f>
        <v>237500</v>
      </c>
      <c r="H101" s="25" t="n">
        <f aca="false">'Distribution Waterfall'!$L$10*'LP Register'!$F$11</f>
        <v>0</v>
      </c>
      <c r="I101" s="25" t="n">
        <f aca="false">'Distribution Waterfall'!$N$10*'LP Register'!$F$11</f>
        <v>0</v>
      </c>
      <c r="J101" s="25" t="n">
        <f aca="false">'Distribution Waterfall'!$T$10*'LP Register'!$F$11</f>
        <v>0</v>
      </c>
      <c r="K101" s="26" t="n">
        <f aca="false">H101+I101+J101</f>
        <v>0</v>
      </c>
      <c r="L101" s="25" t="n">
        <f aca="false">('NAV Rollforward'!$G$10+'NAV Rollforward'!$H$10-'Mgmt Fee Schedule'!$G$10)*'LP Register'!$F$11</f>
        <v>90456.7339999996</v>
      </c>
      <c r="M101" s="25" t="n">
        <f aca="false">-('Distribution Waterfall'!$Q$10+'Distribution Waterfall'!$U$10)*'LP Register'!$F$11</f>
        <v>-0</v>
      </c>
      <c r="N101" s="26" t="n">
        <f aca="false">F101+G101-K101+L101+M101</f>
        <v>2088576.6235</v>
      </c>
      <c r="O101" s="7" t="str">
        <f aca="false">B101&amp;"|"&amp;D101</f>
        <v>7|LP-08</v>
      </c>
    </row>
    <row r="102" customFormat="false" ht="15" hidden="false" customHeight="true" outlineLevel="0" collapsed="false">
      <c r="B102" s="7" t="n">
        <v>7</v>
      </c>
      <c r="C102" s="9" t="str">
        <f aca="false">Quarters!$E$10</f>
        <v>Q3 2023</v>
      </c>
      <c r="D102" s="7" t="s">
        <v>119</v>
      </c>
      <c r="E102" s="7" t="s">
        <v>120</v>
      </c>
      <c r="F102" s="22" t="n">
        <f aca="false">N87</f>
        <v>1408495.9116</v>
      </c>
      <c r="G102" s="25" t="n">
        <f aca="false">'LP Capital Calls'!$H$102</f>
        <v>190000</v>
      </c>
      <c r="H102" s="25" t="n">
        <f aca="false">'Distribution Waterfall'!$L$10*'LP Register'!$F$12</f>
        <v>0</v>
      </c>
      <c r="I102" s="25" t="n">
        <f aca="false">'Distribution Waterfall'!$N$10*'LP Register'!$F$12</f>
        <v>0</v>
      </c>
      <c r="J102" s="25" t="n">
        <f aca="false">'Distribution Waterfall'!$T$10*'LP Register'!$F$12</f>
        <v>0</v>
      </c>
      <c r="K102" s="26" t="n">
        <f aca="false">H102+I102+J102</f>
        <v>0</v>
      </c>
      <c r="L102" s="25" t="n">
        <f aca="false">('NAV Rollforward'!$G$10+'NAV Rollforward'!$H$10-'Mgmt Fee Schedule'!$G$10)*'LP Register'!$F$12</f>
        <v>72365.3871999997</v>
      </c>
      <c r="M102" s="25" t="n">
        <f aca="false">-('Distribution Waterfall'!$Q$10+'Distribution Waterfall'!$U$10)*'LP Register'!$F$12</f>
        <v>-0</v>
      </c>
      <c r="N102" s="26" t="n">
        <f aca="false">F102+G102-K102+L102+M102</f>
        <v>1670861.2988</v>
      </c>
      <c r="O102" s="7" t="str">
        <f aca="false">B102&amp;"|"&amp;D102</f>
        <v>7|LP-09</v>
      </c>
    </row>
    <row r="103" customFormat="false" ht="15" hidden="false" customHeight="true" outlineLevel="0" collapsed="false">
      <c r="B103" s="7" t="n">
        <v>7</v>
      </c>
      <c r="C103" s="9" t="str">
        <f aca="false">Quarters!$E$10</f>
        <v>Q3 2023</v>
      </c>
      <c r="D103" s="7" t="s">
        <v>121</v>
      </c>
      <c r="E103" s="7" t="s">
        <v>122</v>
      </c>
      <c r="F103" s="22" t="n">
        <f aca="false">N88</f>
        <v>1408495.9116</v>
      </c>
      <c r="G103" s="25" t="n">
        <f aca="false">'LP Capital Calls'!$H$103</f>
        <v>190000</v>
      </c>
      <c r="H103" s="25" t="n">
        <f aca="false">'Distribution Waterfall'!$L$10*'LP Register'!$F$13</f>
        <v>0</v>
      </c>
      <c r="I103" s="25" t="n">
        <f aca="false">'Distribution Waterfall'!$N$10*'LP Register'!$F$13</f>
        <v>0</v>
      </c>
      <c r="J103" s="25" t="n">
        <f aca="false">'Distribution Waterfall'!$T$10*'LP Register'!$F$13</f>
        <v>0</v>
      </c>
      <c r="K103" s="26" t="n">
        <f aca="false">H103+I103+J103</f>
        <v>0</v>
      </c>
      <c r="L103" s="25" t="n">
        <f aca="false">('NAV Rollforward'!$G$10+'NAV Rollforward'!$H$10-'Mgmt Fee Schedule'!$G$10)*'LP Register'!$F$13</f>
        <v>72365.3871999997</v>
      </c>
      <c r="M103" s="25" t="n">
        <f aca="false">-('Distribution Waterfall'!$Q$10+'Distribution Waterfall'!$U$10)*'LP Register'!$F$13</f>
        <v>-0</v>
      </c>
      <c r="N103" s="26" t="n">
        <f aca="false">F103+G103-K103+L103+M103</f>
        <v>1670861.2988</v>
      </c>
      <c r="O103" s="7" t="str">
        <f aca="false">B103&amp;"|"&amp;D103</f>
        <v>7|LP-10</v>
      </c>
    </row>
    <row r="104" customFormat="false" ht="15" hidden="false" customHeight="true" outlineLevel="0" collapsed="false">
      <c r="B104" s="7" t="n">
        <v>7</v>
      </c>
      <c r="C104" s="9" t="str">
        <f aca="false">Quarters!$E$10</f>
        <v>Q3 2023</v>
      </c>
      <c r="D104" s="7" t="s">
        <v>124</v>
      </c>
      <c r="E104" s="7" t="s">
        <v>125</v>
      </c>
      <c r="F104" s="22" t="n">
        <f aca="false">N89</f>
        <v>1267646.32044</v>
      </c>
      <c r="G104" s="25" t="n">
        <f aca="false">'LP Capital Calls'!$H$104</f>
        <v>171000</v>
      </c>
      <c r="H104" s="25" t="n">
        <f aca="false">'Distribution Waterfall'!$L$10*'LP Register'!$F$14</f>
        <v>0</v>
      </c>
      <c r="I104" s="25" t="n">
        <f aca="false">'Distribution Waterfall'!$N$10*'LP Register'!$F$14</f>
        <v>0</v>
      </c>
      <c r="J104" s="25" t="n">
        <f aca="false">'Distribution Waterfall'!$T$10*'LP Register'!$F$14</f>
        <v>0</v>
      </c>
      <c r="K104" s="26" t="n">
        <f aca="false">H104+I104+J104</f>
        <v>0</v>
      </c>
      <c r="L104" s="25" t="n">
        <f aca="false">('NAV Rollforward'!$G$10+'NAV Rollforward'!$H$10-'Mgmt Fee Schedule'!$G$10)*'LP Register'!$F$14</f>
        <v>65128.8484799997</v>
      </c>
      <c r="M104" s="25" t="n">
        <f aca="false">-('Distribution Waterfall'!$Q$10+'Distribution Waterfall'!$U$10)*'LP Register'!$F$14</f>
        <v>-0</v>
      </c>
      <c r="N104" s="26" t="n">
        <f aca="false">F104+G104-K104+L104+M104</f>
        <v>1503775.16892</v>
      </c>
      <c r="O104" s="7" t="str">
        <f aca="false">B104&amp;"|"&amp;D104</f>
        <v>7|LP-11</v>
      </c>
    </row>
    <row r="105" customFormat="false" ht="15" hidden="false" customHeight="true" outlineLevel="0" collapsed="false">
      <c r="B105" s="7" t="n">
        <v>7</v>
      </c>
      <c r="C105" s="9" t="str">
        <f aca="false">Quarters!$E$10</f>
        <v>Q3 2023</v>
      </c>
      <c r="D105" s="7" t="s">
        <v>126</v>
      </c>
      <c r="E105" s="7" t="s">
        <v>127</v>
      </c>
      <c r="F105" s="22" t="n">
        <f aca="false">N90</f>
        <v>1056371.9337</v>
      </c>
      <c r="G105" s="25" t="n">
        <f aca="false">'LP Capital Calls'!$H$105</f>
        <v>142500</v>
      </c>
      <c r="H105" s="25" t="n">
        <f aca="false">'Distribution Waterfall'!$L$10*'LP Register'!$F$15</f>
        <v>0</v>
      </c>
      <c r="I105" s="25" t="n">
        <f aca="false">'Distribution Waterfall'!$N$10*'LP Register'!$F$15</f>
        <v>0</v>
      </c>
      <c r="J105" s="25" t="n">
        <f aca="false">'Distribution Waterfall'!$T$10*'LP Register'!$F$15</f>
        <v>0</v>
      </c>
      <c r="K105" s="26" t="n">
        <f aca="false">H105+I105+J105</f>
        <v>0</v>
      </c>
      <c r="L105" s="25" t="n">
        <f aca="false">('NAV Rollforward'!$G$10+'NAV Rollforward'!$H$10-'Mgmt Fee Schedule'!$G$10)*'LP Register'!$F$15</f>
        <v>54274.0403999998</v>
      </c>
      <c r="M105" s="25" t="n">
        <f aca="false">-('Distribution Waterfall'!$Q$10+'Distribution Waterfall'!$U$10)*'LP Register'!$F$15</f>
        <v>-0</v>
      </c>
      <c r="N105" s="26" t="n">
        <f aca="false">F105+G105-K105+L105+M105</f>
        <v>1253145.9741</v>
      </c>
      <c r="O105" s="7" t="str">
        <f aca="false">B105&amp;"|"&amp;D105</f>
        <v>7|LP-12</v>
      </c>
    </row>
    <row r="106" customFormat="false" ht="15" hidden="false" customHeight="true" outlineLevel="0" collapsed="false">
      <c r="B106" s="7" t="n">
        <v>7</v>
      </c>
      <c r="C106" s="9" t="str">
        <f aca="false">Quarters!$E$10</f>
        <v>Q3 2023</v>
      </c>
      <c r="D106" s="7" t="s">
        <v>128</v>
      </c>
      <c r="E106" s="7" t="s">
        <v>129</v>
      </c>
      <c r="F106" s="22" t="n">
        <f aca="false">N91</f>
        <v>1056371.9337</v>
      </c>
      <c r="G106" s="25" t="n">
        <f aca="false">'LP Capital Calls'!$H$106</f>
        <v>142500</v>
      </c>
      <c r="H106" s="25" t="n">
        <f aca="false">'Distribution Waterfall'!$L$10*'LP Register'!$F$16</f>
        <v>0</v>
      </c>
      <c r="I106" s="25" t="n">
        <f aca="false">'Distribution Waterfall'!$N$10*'LP Register'!$F$16</f>
        <v>0</v>
      </c>
      <c r="J106" s="25" t="n">
        <f aca="false">'Distribution Waterfall'!$T$10*'LP Register'!$F$16</f>
        <v>0</v>
      </c>
      <c r="K106" s="26" t="n">
        <f aca="false">H106+I106+J106</f>
        <v>0</v>
      </c>
      <c r="L106" s="25" t="n">
        <f aca="false">('NAV Rollforward'!$G$10+'NAV Rollforward'!$H$10-'Mgmt Fee Schedule'!$G$10)*'LP Register'!$F$16</f>
        <v>54274.0403999998</v>
      </c>
      <c r="M106" s="25" t="n">
        <f aca="false">-('Distribution Waterfall'!$Q$10+'Distribution Waterfall'!$U$10)*'LP Register'!$F$16</f>
        <v>-0</v>
      </c>
      <c r="N106" s="26" t="n">
        <f aca="false">F106+G106-K106+L106+M106</f>
        <v>1253145.9741</v>
      </c>
      <c r="O106" s="7" t="str">
        <f aca="false">B106&amp;"|"&amp;D106</f>
        <v>7|LP-13</v>
      </c>
    </row>
    <row r="107" customFormat="false" ht="15" hidden="false" customHeight="true" outlineLevel="0" collapsed="false">
      <c r="B107" s="7" t="n">
        <v>7</v>
      </c>
      <c r="C107" s="9" t="str">
        <f aca="false">Quarters!$E$10</f>
        <v>Q3 2023</v>
      </c>
      <c r="D107" s="7" t="s">
        <v>130</v>
      </c>
      <c r="E107" s="7" t="s">
        <v>131</v>
      </c>
      <c r="F107" s="22" t="n">
        <f aca="false">N92</f>
        <v>1126796.72928</v>
      </c>
      <c r="G107" s="25" t="n">
        <f aca="false">'LP Capital Calls'!$H$107</f>
        <v>152000</v>
      </c>
      <c r="H107" s="25" t="n">
        <f aca="false">'Distribution Waterfall'!$L$10*'LP Register'!$F$17</f>
        <v>0</v>
      </c>
      <c r="I107" s="25" t="n">
        <f aca="false">'Distribution Waterfall'!$N$10*'LP Register'!$F$17</f>
        <v>0</v>
      </c>
      <c r="J107" s="25" t="n">
        <f aca="false">'Distribution Waterfall'!$T$10*'LP Register'!$F$17</f>
        <v>0</v>
      </c>
      <c r="K107" s="26" t="n">
        <f aca="false">H107+I107+J107</f>
        <v>0</v>
      </c>
      <c r="L107" s="25" t="n">
        <f aca="false">('NAV Rollforward'!$G$10+'NAV Rollforward'!$H$10-'Mgmt Fee Schedule'!$G$10)*'LP Register'!$F$17</f>
        <v>57892.3097599998</v>
      </c>
      <c r="M107" s="25" t="n">
        <f aca="false">-('Distribution Waterfall'!$Q$10+'Distribution Waterfall'!$U$10)*'LP Register'!$F$17</f>
        <v>-0</v>
      </c>
      <c r="N107" s="26" t="n">
        <f aca="false">F107+G107-K107+L107+M107</f>
        <v>1336689.03904</v>
      </c>
      <c r="O107" s="7" t="str">
        <f aca="false">B107&amp;"|"&amp;D107</f>
        <v>7|LP-14</v>
      </c>
    </row>
    <row r="108" customFormat="false" ht="15" hidden="false" customHeight="true" outlineLevel="0" collapsed="false">
      <c r="B108" s="7" t="n">
        <v>7</v>
      </c>
      <c r="C108" s="9" t="str">
        <f aca="false">Quarters!$E$10</f>
        <v>Q3 2023</v>
      </c>
      <c r="D108" s="7" t="s">
        <v>132</v>
      </c>
      <c r="E108" s="7" t="s">
        <v>133</v>
      </c>
      <c r="F108" s="22" t="n">
        <f aca="false">N93</f>
        <v>1126796.72928</v>
      </c>
      <c r="G108" s="25" t="n">
        <f aca="false">'LP Capital Calls'!$H$108</f>
        <v>152000</v>
      </c>
      <c r="H108" s="25" t="n">
        <f aca="false">'Distribution Waterfall'!$L$10*'LP Register'!$F$18</f>
        <v>0</v>
      </c>
      <c r="I108" s="25" t="n">
        <f aca="false">'Distribution Waterfall'!$N$10*'LP Register'!$F$18</f>
        <v>0</v>
      </c>
      <c r="J108" s="25" t="n">
        <f aca="false">'Distribution Waterfall'!$T$10*'LP Register'!$F$18</f>
        <v>0</v>
      </c>
      <c r="K108" s="26" t="n">
        <f aca="false">H108+I108+J108</f>
        <v>0</v>
      </c>
      <c r="L108" s="25" t="n">
        <f aca="false">('NAV Rollforward'!$G$10+'NAV Rollforward'!$H$10-'Mgmt Fee Schedule'!$G$10)*'LP Register'!$F$18</f>
        <v>57892.3097599998</v>
      </c>
      <c r="M108" s="25" t="n">
        <f aca="false">-('Distribution Waterfall'!$Q$10+'Distribution Waterfall'!$U$10)*'LP Register'!$F$18</f>
        <v>-0</v>
      </c>
      <c r="N108" s="26" t="n">
        <f aca="false">F108+G108-K108+L108+M108</f>
        <v>1336689.03904</v>
      </c>
      <c r="O108" s="7" t="str">
        <f aca="false">B108&amp;"|"&amp;D108</f>
        <v>7|LP-15</v>
      </c>
    </row>
    <row r="109" customFormat="false" ht="15" hidden="false" customHeight="true" outlineLevel="0" collapsed="false">
      <c r="B109" s="7" t="n">
        <v>8</v>
      </c>
      <c r="C109" s="9" t="str">
        <f aca="false">Quarters!$E$11</f>
        <v>Q4 2023</v>
      </c>
      <c r="D109" s="7" t="s">
        <v>97</v>
      </c>
      <c r="E109" s="7" t="s">
        <v>98</v>
      </c>
      <c r="F109" s="22" t="n">
        <f aca="false">N94</f>
        <v>6683445.1952</v>
      </c>
      <c r="G109" s="25" t="n">
        <f aca="false">'LP Capital Calls'!$H$109</f>
        <v>600000</v>
      </c>
      <c r="H109" s="25" t="n">
        <f aca="false">'Distribution Waterfall'!$L$11*'LP Register'!$F$4</f>
        <v>0</v>
      </c>
      <c r="I109" s="25" t="n">
        <f aca="false">'Distribution Waterfall'!$N$11*'LP Register'!$F$4</f>
        <v>0</v>
      </c>
      <c r="J109" s="25" t="n">
        <f aca="false">'Distribution Waterfall'!$T$11*'LP Register'!$F$4</f>
        <v>0</v>
      </c>
      <c r="K109" s="26" t="n">
        <f aca="false">H109+I109+J109</f>
        <v>0</v>
      </c>
      <c r="L109" s="25" t="n">
        <f aca="false">('NAV Rollforward'!$G$11+'NAV Rollforward'!$H$11-'Mgmt Fee Schedule'!$G$11)*'LP Register'!$F$4</f>
        <v>361987.4064</v>
      </c>
      <c r="M109" s="25" t="n">
        <f aca="false">-('Distribution Waterfall'!$Q$11+'Distribution Waterfall'!$U$11)*'LP Register'!$F$4</f>
        <v>-0</v>
      </c>
      <c r="N109" s="26" t="n">
        <f aca="false">F109+G109-K109+L109+M109</f>
        <v>7645432.6016</v>
      </c>
      <c r="O109" s="7" t="str">
        <f aca="false">B109&amp;"|"&amp;D109</f>
        <v>8|LP-01</v>
      </c>
    </row>
    <row r="110" customFormat="false" ht="15" hidden="false" customHeight="true" outlineLevel="0" collapsed="false">
      <c r="B110" s="7" t="n">
        <v>8</v>
      </c>
      <c r="C110" s="9" t="str">
        <f aca="false">Quarters!$E$11</f>
        <v>Q4 2023</v>
      </c>
      <c r="D110" s="7" t="s">
        <v>100</v>
      </c>
      <c r="E110" s="7" t="s">
        <v>101</v>
      </c>
      <c r="F110" s="22" t="n">
        <f aca="false">N95</f>
        <v>5012583.8964</v>
      </c>
      <c r="G110" s="25" t="n">
        <f aca="false">'LP Capital Calls'!$H$110</f>
        <v>450000</v>
      </c>
      <c r="H110" s="25" t="n">
        <f aca="false">'Distribution Waterfall'!$L$11*'LP Register'!$F$5</f>
        <v>0</v>
      </c>
      <c r="I110" s="25" t="n">
        <f aca="false">'Distribution Waterfall'!$N$11*'LP Register'!$F$5</f>
        <v>0</v>
      </c>
      <c r="J110" s="25" t="n">
        <f aca="false">'Distribution Waterfall'!$T$11*'LP Register'!$F$5</f>
        <v>0</v>
      </c>
      <c r="K110" s="26" t="n">
        <f aca="false">H110+I110+J110</f>
        <v>0</v>
      </c>
      <c r="L110" s="25" t="n">
        <f aca="false">('NAV Rollforward'!$G$11+'NAV Rollforward'!$H$11-'Mgmt Fee Schedule'!$G$11)*'LP Register'!$F$5</f>
        <v>271490.5548</v>
      </c>
      <c r="M110" s="25" t="n">
        <f aca="false">-('Distribution Waterfall'!$Q$11+'Distribution Waterfall'!$U$11)*'LP Register'!$F$5</f>
        <v>-0</v>
      </c>
      <c r="N110" s="26" t="n">
        <f aca="false">F110+G110-K110+L110+M110</f>
        <v>5734074.4512</v>
      </c>
      <c r="O110" s="7" t="str">
        <f aca="false">B110&amp;"|"&amp;D110</f>
        <v>8|LP-02</v>
      </c>
    </row>
    <row r="111" customFormat="false" ht="15" hidden="false" customHeight="true" outlineLevel="0" collapsed="false">
      <c r="B111" s="7" t="n">
        <v>8</v>
      </c>
      <c r="C111" s="9" t="str">
        <f aca="false">Quarters!$E$11</f>
        <v>Q4 2023</v>
      </c>
      <c r="D111" s="7" t="s">
        <v>103</v>
      </c>
      <c r="E111" s="7" t="s">
        <v>104</v>
      </c>
      <c r="F111" s="22" t="n">
        <f aca="false">N96</f>
        <v>4594868.5717</v>
      </c>
      <c r="G111" s="25" t="n">
        <f aca="false">'LP Capital Calls'!$H$111</f>
        <v>412500</v>
      </c>
      <c r="H111" s="25" t="n">
        <f aca="false">'Distribution Waterfall'!$L$11*'LP Register'!$F$6</f>
        <v>0</v>
      </c>
      <c r="I111" s="25" t="n">
        <f aca="false">'Distribution Waterfall'!$N$11*'LP Register'!$F$6</f>
        <v>0</v>
      </c>
      <c r="J111" s="25" t="n">
        <f aca="false">'Distribution Waterfall'!$T$11*'LP Register'!$F$6</f>
        <v>0</v>
      </c>
      <c r="K111" s="26" t="n">
        <f aca="false">H111+I111+J111</f>
        <v>0</v>
      </c>
      <c r="L111" s="25" t="n">
        <f aca="false">('NAV Rollforward'!$G$11+'NAV Rollforward'!$H$11-'Mgmt Fee Schedule'!$G$11)*'LP Register'!$F$6</f>
        <v>248866.3419</v>
      </c>
      <c r="M111" s="25" t="n">
        <f aca="false">-('Distribution Waterfall'!$Q$11+'Distribution Waterfall'!$U$11)*'LP Register'!$F$6</f>
        <v>-0</v>
      </c>
      <c r="N111" s="26" t="n">
        <f aca="false">F111+G111-K111+L111+M111</f>
        <v>5256234.9136</v>
      </c>
      <c r="O111" s="7" t="str">
        <f aca="false">B111&amp;"|"&amp;D111</f>
        <v>8|LP-03</v>
      </c>
    </row>
    <row r="112" customFormat="false" ht="15" hidden="false" customHeight="true" outlineLevel="0" collapsed="false">
      <c r="B112" s="7" t="n">
        <v>8</v>
      </c>
      <c r="C112" s="9" t="str">
        <f aca="false">Quarters!$E$11</f>
        <v>Q4 2023</v>
      </c>
      <c r="D112" s="7" t="s">
        <v>106</v>
      </c>
      <c r="E112" s="7" t="s">
        <v>107</v>
      </c>
      <c r="F112" s="22" t="n">
        <f aca="false">N97</f>
        <v>4177153.247</v>
      </c>
      <c r="G112" s="25" t="n">
        <f aca="false">'LP Capital Calls'!$H$112</f>
        <v>375000</v>
      </c>
      <c r="H112" s="25" t="n">
        <f aca="false">'Distribution Waterfall'!$L$11*'LP Register'!$F$7</f>
        <v>0</v>
      </c>
      <c r="I112" s="25" t="n">
        <f aca="false">'Distribution Waterfall'!$N$11*'LP Register'!$F$7</f>
        <v>0</v>
      </c>
      <c r="J112" s="25" t="n">
        <f aca="false">'Distribution Waterfall'!$T$11*'LP Register'!$F$7</f>
        <v>0</v>
      </c>
      <c r="K112" s="26" t="n">
        <f aca="false">H112+I112+J112</f>
        <v>0</v>
      </c>
      <c r="L112" s="25" t="n">
        <f aca="false">('NAV Rollforward'!$G$11+'NAV Rollforward'!$H$11-'Mgmt Fee Schedule'!$G$11)*'LP Register'!$F$7</f>
        <v>226242.129</v>
      </c>
      <c r="M112" s="25" t="n">
        <f aca="false">-('Distribution Waterfall'!$Q$11+'Distribution Waterfall'!$U$11)*'LP Register'!$F$7</f>
        <v>-0</v>
      </c>
      <c r="N112" s="26" t="n">
        <f aca="false">F112+G112-K112+L112+M112</f>
        <v>4778395.376</v>
      </c>
      <c r="O112" s="7" t="str">
        <f aca="false">B112&amp;"|"&amp;D112</f>
        <v>8|LP-04</v>
      </c>
    </row>
    <row r="113" customFormat="false" ht="15" hidden="false" customHeight="true" outlineLevel="0" collapsed="false">
      <c r="B113" s="7" t="n">
        <v>8</v>
      </c>
      <c r="C113" s="9" t="str">
        <f aca="false">Quarters!$E$11</f>
        <v>Q4 2023</v>
      </c>
      <c r="D113" s="7" t="s">
        <v>109</v>
      </c>
      <c r="E113" s="7" t="s">
        <v>110</v>
      </c>
      <c r="F113" s="22" t="n">
        <f aca="false">N98</f>
        <v>3341722.5976</v>
      </c>
      <c r="G113" s="25" t="n">
        <f aca="false">'LP Capital Calls'!$H$113</f>
        <v>300000</v>
      </c>
      <c r="H113" s="25" t="n">
        <f aca="false">'Distribution Waterfall'!$L$11*'LP Register'!$F$8</f>
        <v>0</v>
      </c>
      <c r="I113" s="25" t="n">
        <f aca="false">'Distribution Waterfall'!$N$11*'LP Register'!$F$8</f>
        <v>0</v>
      </c>
      <c r="J113" s="25" t="n">
        <f aca="false">'Distribution Waterfall'!$T$11*'LP Register'!$F$8</f>
        <v>0</v>
      </c>
      <c r="K113" s="26" t="n">
        <f aca="false">H113+I113+J113</f>
        <v>0</v>
      </c>
      <c r="L113" s="25" t="n">
        <f aca="false">('NAV Rollforward'!$G$11+'NAV Rollforward'!$H$11-'Mgmt Fee Schedule'!$G$11)*'LP Register'!$F$8</f>
        <v>180993.7032</v>
      </c>
      <c r="M113" s="25" t="n">
        <f aca="false">-('Distribution Waterfall'!$Q$11+'Distribution Waterfall'!$U$11)*'LP Register'!$F$8</f>
        <v>-0</v>
      </c>
      <c r="N113" s="26" t="n">
        <f aca="false">F113+G113-K113+L113+M113</f>
        <v>3822716.3008</v>
      </c>
      <c r="O113" s="7" t="str">
        <f aca="false">B113&amp;"|"&amp;D113</f>
        <v>8|LP-05</v>
      </c>
    </row>
    <row r="114" customFormat="false" ht="15" hidden="false" customHeight="true" outlineLevel="0" collapsed="false">
      <c r="B114" s="7" t="n">
        <v>8</v>
      </c>
      <c r="C114" s="9" t="str">
        <f aca="false">Quarters!$E$11</f>
        <v>Q4 2023</v>
      </c>
      <c r="D114" s="7" t="s">
        <v>112</v>
      </c>
      <c r="E114" s="7" t="s">
        <v>113</v>
      </c>
      <c r="F114" s="22" t="n">
        <f aca="false">N99</f>
        <v>3341722.5976</v>
      </c>
      <c r="G114" s="25" t="n">
        <f aca="false">'LP Capital Calls'!$H$114</f>
        <v>300000</v>
      </c>
      <c r="H114" s="25" t="n">
        <f aca="false">'Distribution Waterfall'!$L$11*'LP Register'!$F$9</f>
        <v>0</v>
      </c>
      <c r="I114" s="25" t="n">
        <f aca="false">'Distribution Waterfall'!$N$11*'LP Register'!$F$9</f>
        <v>0</v>
      </c>
      <c r="J114" s="25" t="n">
        <f aca="false">'Distribution Waterfall'!$T$11*'LP Register'!$F$9</f>
        <v>0</v>
      </c>
      <c r="K114" s="26" t="n">
        <f aca="false">H114+I114+J114</f>
        <v>0</v>
      </c>
      <c r="L114" s="25" t="n">
        <f aca="false">('NAV Rollforward'!$G$11+'NAV Rollforward'!$H$11-'Mgmt Fee Schedule'!$G$11)*'LP Register'!$F$9</f>
        <v>180993.7032</v>
      </c>
      <c r="M114" s="25" t="n">
        <f aca="false">-('Distribution Waterfall'!$Q$11+'Distribution Waterfall'!$U$11)*'LP Register'!$F$9</f>
        <v>-0</v>
      </c>
      <c r="N114" s="26" t="n">
        <f aca="false">F114+G114-K114+L114+M114</f>
        <v>3822716.3008</v>
      </c>
      <c r="O114" s="7" t="str">
        <f aca="false">B114&amp;"|"&amp;D114</f>
        <v>8|LP-06</v>
      </c>
    </row>
    <row r="115" customFormat="false" ht="15" hidden="false" customHeight="true" outlineLevel="0" collapsed="false">
      <c r="B115" s="7" t="n">
        <v>8</v>
      </c>
      <c r="C115" s="9" t="str">
        <f aca="false">Quarters!$E$11</f>
        <v>Q4 2023</v>
      </c>
      <c r="D115" s="7" t="s">
        <v>115</v>
      </c>
      <c r="E115" s="7" t="s">
        <v>116</v>
      </c>
      <c r="F115" s="22" t="n">
        <f aca="false">N100</f>
        <v>2506291.9482</v>
      </c>
      <c r="G115" s="25" t="n">
        <f aca="false">'LP Capital Calls'!$H$115</f>
        <v>225000</v>
      </c>
      <c r="H115" s="25" t="n">
        <f aca="false">'Distribution Waterfall'!$L$11*'LP Register'!$F$10</f>
        <v>0</v>
      </c>
      <c r="I115" s="25" t="n">
        <f aca="false">'Distribution Waterfall'!$N$11*'LP Register'!$F$10</f>
        <v>0</v>
      </c>
      <c r="J115" s="25" t="n">
        <f aca="false">'Distribution Waterfall'!$T$11*'LP Register'!$F$10</f>
        <v>0</v>
      </c>
      <c r="K115" s="26" t="n">
        <f aca="false">H115+I115+J115</f>
        <v>0</v>
      </c>
      <c r="L115" s="25" t="n">
        <f aca="false">('NAV Rollforward'!$G$11+'NAV Rollforward'!$H$11-'Mgmt Fee Schedule'!$G$11)*'LP Register'!$F$10</f>
        <v>135745.2774</v>
      </c>
      <c r="M115" s="25" t="n">
        <f aca="false">-('Distribution Waterfall'!$Q$11+'Distribution Waterfall'!$U$11)*'LP Register'!$F$10</f>
        <v>-0</v>
      </c>
      <c r="N115" s="26" t="n">
        <f aca="false">F115+G115-K115+L115+M115</f>
        <v>2867037.2256</v>
      </c>
      <c r="O115" s="7" t="str">
        <f aca="false">B115&amp;"|"&amp;D115</f>
        <v>8|LP-07</v>
      </c>
    </row>
    <row r="116" customFormat="false" ht="15" hidden="false" customHeight="true" outlineLevel="0" collapsed="false">
      <c r="B116" s="7" t="n">
        <v>8</v>
      </c>
      <c r="C116" s="9" t="str">
        <f aca="false">Quarters!$E$11</f>
        <v>Q4 2023</v>
      </c>
      <c r="D116" s="7" t="s">
        <v>117</v>
      </c>
      <c r="E116" s="7" t="s">
        <v>118</v>
      </c>
      <c r="F116" s="22" t="n">
        <f aca="false">N101</f>
        <v>2088576.6235</v>
      </c>
      <c r="G116" s="25" t="n">
        <f aca="false">'LP Capital Calls'!$H$116</f>
        <v>187500</v>
      </c>
      <c r="H116" s="25" t="n">
        <f aca="false">'Distribution Waterfall'!$L$11*'LP Register'!$F$11</f>
        <v>0</v>
      </c>
      <c r="I116" s="25" t="n">
        <f aca="false">'Distribution Waterfall'!$N$11*'LP Register'!$F$11</f>
        <v>0</v>
      </c>
      <c r="J116" s="25" t="n">
        <f aca="false">'Distribution Waterfall'!$T$11*'LP Register'!$F$11</f>
        <v>0</v>
      </c>
      <c r="K116" s="26" t="n">
        <f aca="false">H116+I116+J116</f>
        <v>0</v>
      </c>
      <c r="L116" s="25" t="n">
        <f aca="false">('NAV Rollforward'!$G$11+'NAV Rollforward'!$H$11-'Mgmt Fee Schedule'!$G$11)*'LP Register'!$F$11</f>
        <v>113121.0645</v>
      </c>
      <c r="M116" s="25" t="n">
        <f aca="false">-('Distribution Waterfall'!$Q$11+'Distribution Waterfall'!$U$11)*'LP Register'!$F$11</f>
        <v>-0</v>
      </c>
      <c r="N116" s="26" t="n">
        <f aca="false">F116+G116-K116+L116+M116</f>
        <v>2389197.688</v>
      </c>
      <c r="O116" s="7" t="str">
        <f aca="false">B116&amp;"|"&amp;D116</f>
        <v>8|LP-08</v>
      </c>
    </row>
    <row r="117" customFormat="false" ht="15" hidden="false" customHeight="true" outlineLevel="0" collapsed="false">
      <c r="B117" s="7" t="n">
        <v>8</v>
      </c>
      <c r="C117" s="9" t="str">
        <f aca="false">Quarters!$E$11</f>
        <v>Q4 2023</v>
      </c>
      <c r="D117" s="7" t="s">
        <v>119</v>
      </c>
      <c r="E117" s="7" t="s">
        <v>120</v>
      </c>
      <c r="F117" s="22" t="n">
        <f aca="false">N102</f>
        <v>1670861.2988</v>
      </c>
      <c r="G117" s="25" t="n">
        <f aca="false">'LP Capital Calls'!$H$117</f>
        <v>150000</v>
      </c>
      <c r="H117" s="25" t="n">
        <f aca="false">'Distribution Waterfall'!$L$11*'LP Register'!$F$12</f>
        <v>0</v>
      </c>
      <c r="I117" s="25" t="n">
        <f aca="false">'Distribution Waterfall'!$N$11*'LP Register'!$F$12</f>
        <v>0</v>
      </c>
      <c r="J117" s="25" t="n">
        <f aca="false">'Distribution Waterfall'!$T$11*'LP Register'!$F$12</f>
        <v>0</v>
      </c>
      <c r="K117" s="26" t="n">
        <f aca="false">H117+I117+J117</f>
        <v>0</v>
      </c>
      <c r="L117" s="25" t="n">
        <f aca="false">('NAV Rollforward'!$G$11+'NAV Rollforward'!$H$11-'Mgmt Fee Schedule'!$G$11)*'LP Register'!$F$12</f>
        <v>90496.8516</v>
      </c>
      <c r="M117" s="25" t="n">
        <f aca="false">-('Distribution Waterfall'!$Q$11+'Distribution Waterfall'!$U$11)*'LP Register'!$F$12</f>
        <v>-0</v>
      </c>
      <c r="N117" s="26" t="n">
        <f aca="false">F117+G117-K117+L117+M117</f>
        <v>1911358.1504</v>
      </c>
      <c r="O117" s="7" t="str">
        <f aca="false">B117&amp;"|"&amp;D117</f>
        <v>8|LP-09</v>
      </c>
    </row>
    <row r="118" customFormat="false" ht="15" hidden="false" customHeight="true" outlineLevel="0" collapsed="false">
      <c r="B118" s="7" t="n">
        <v>8</v>
      </c>
      <c r="C118" s="9" t="str">
        <f aca="false">Quarters!$E$11</f>
        <v>Q4 2023</v>
      </c>
      <c r="D118" s="7" t="s">
        <v>121</v>
      </c>
      <c r="E118" s="7" t="s">
        <v>122</v>
      </c>
      <c r="F118" s="22" t="n">
        <f aca="false">N103</f>
        <v>1670861.2988</v>
      </c>
      <c r="G118" s="25" t="n">
        <f aca="false">'LP Capital Calls'!$H$118</f>
        <v>150000</v>
      </c>
      <c r="H118" s="25" t="n">
        <f aca="false">'Distribution Waterfall'!$L$11*'LP Register'!$F$13</f>
        <v>0</v>
      </c>
      <c r="I118" s="25" t="n">
        <f aca="false">'Distribution Waterfall'!$N$11*'LP Register'!$F$13</f>
        <v>0</v>
      </c>
      <c r="J118" s="25" t="n">
        <f aca="false">'Distribution Waterfall'!$T$11*'LP Register'!$F$13</f>
        <v>0</v>
      </c>
      <c r="K118" s="26" t="n">
        <f aca="false">H118+I118+J118</f>
        <v>0</v>
      </c>
      <c r="L118" s="25" t="n">
        <f aca="false">('NAV Rollforward'!$G$11+'NAV Rollforward'!$H$11-'Mgmt Fee Schedule'!$G$11)*'LP Register'!$F$13</f>
        <v>90496.8516</v>
      </c>
      <c r="M118" s="25" t="n">
        <f aca="false">-('Distribution Waterfall'!$Q$11+'Distribution Waterfall'!$U$11)*'LP Register'!$F$13</f>
        <v>-0</v>
      </c>
      <c r="N118" s="26" t="n">
        <f aca="false">F118+G118-K118+L118+M118</f>
        <v>1911358.1504</v>
      </c>
      <c r="O118" s="7" t="str">
        <f aca="false">B118&amp;"|"&amp;D118</f>
        <v>8|LP-10</v>
      </c>
    </row>
    <row r="119" customFormat="false" ht="15" hidden="false" customHeight="true" outlineLevel="0" collapsed="false">
      <c r="B119" s="7" t="n">
        <v>8</v>
      </c>
      <c r="C119" s="9" t="str">
        <f aca="false">Quarters!$E$11</f>
        <v>Q4 2023</v>
      </c>
      <c r="D119" s="7" t="s">
        <v>124</v>
      </c>
      <c r="E119" s="7" t="s">
        <v>125</v>
      </c>
      <c r="F119" s="22" t="n">
        <f aca="false">N104</f>
        <v>1503775.16892</v>
      </c>
      <c r="G119" s="25" t="n">
        <f aca="false">'LP Capital Calls'!$H$119</f>
        <v>135000</v>
      </c>
      <c r="H119" s="25" t="n">
        <f aca="false">'Distribution Waterfall'!$L$11*'LP Register'!$F$14</f>
        <v>0</v>
      </c>
      <c r="I119" s="25" t="n">
        <f aca="false">'Distribution Waterfall'!$N$11*'LP Register'!$F$14</f>
        <v>0</v>
      </c>
      <c r="J119" s="25" t="n">
        <f aca="false">'Distribution Waterfall'!$T$11*'LP Register'!$F$14</f>
        <v>0</v>
      </c>
      <c r="K119" s="26" t="n">
        <f aca="false">H119+I119+J119</f>
        <v>0</v>
      </c>
      <c r="L119" s="25" t="n">
        <f aca="false">('NAV Rollforward'!$G$11+'NAV Rollforward'!$H$11-'Mgmt Fee Schedule'!$G$11)*'LP Register'!$F$14</f>
        <v>81447.16644</v>
      </c>
      <c r="M119" s="25" t="n">
        <f aca="false">-('Distribution Waterfall'!$Q$11+'Distribution Waterfall'!$U$11)*'LP Register'!$F$14</f>
        <v>-0</v>
      </c>
      <c r="N119" s="26" t="n">
        <f aca="false">F119+G119-K119+L119+M119</f>
        <v>1720222.33536</v>
      </c>
      <c r="O119" s="7" t="str">
        <f aca="false">B119&amp;"|"&amp;D119</f>
        <v>8|LP-11</v>
      </c>
    </row>
    <row r="120" customFormat="false" ht="15" hidden="false" customHeight="true" outlineLevel="0" collapsed="false">
      <c r="B120" s="7" t="n">
        <v>8</v>
      </c>
      <c r="C120" s="9" t="str">
        <f aca="false">Quarters!$E$11</f>
        <v>Q4 2023</v>
      </c>
      <c r="D120" s="7" t="s">
        <v>126</v>
      </c>
      <c r="E120" s="7" t="s">
        <v>127</v>
      </c>
      <c r="F120" s="22" t="n">
        <f aca="false">N105</f>
        <v>1253145.9741</v>
      </c>
      <c r="G120" s="25" t="n">
        <f aca="false">'LP Capital Calls'!$H$120</f>
        <v>112500</v>
      </c>
      <c r="H120" s="25" t="n">
        <f aca="false">'Distribution Waterfall'!$L$11*'LP Register'!$F$15</f>
        <v>0</v>
      </c>
      <c r="I120" s="25" t="n">
        <f aca="false">'Distribution Waterfall'!$N$11*'LP Register'!$F$15</f>
        <v>0</v>
      </c>
      <c r="J120" s="25" t="n">
        <f aca="false">'Distribution Waterfall'!$T$11*'LP Register'!$F$15</f>
        <v>0</v>
      </c>
      <c r="K120" s="26" t="n">
        <f aca="false">H120+I120+J120</f>
        <v>0</v>
      </c>
      <c r="L120" s="25" t="n">
        <f aca="false">('NAV Rollforward'!$G$11+'NAV Rollforward'!$H$11-'Mgmt Fee Schedule'!$G$11)*'LP Register'!$F$15</f>
        <v>67872.6387</v>
      </c>
      <c r="M120" s="25" t="n">
        <f aca="false">-('Distribution Waterfall'!$Q$11+'Distribution Waterfall'!$U$11)*'LP Register'!$F$15</f>
        <v>-0</v>
      </c>
      <c r="N120" s="26" t="n">
        <f aca="false">F120+G120-K120+L120+M120</f>
        <v>1433518.6128</v>
      </c>
      <c r="O120" s="7" t="str">
        <f aca="false">B120&amp;"|"&amp;D120</f>
        <v>8|LP-12</v>
      </c>
    </row>
    <row r="121" customFormat="false" ht="15" hidden="false" customHeight="true" outlineLevel="0" collapsed="false">
      <c r="B121" s="7" t="n">
        <v>8</v>
      </c>
      <c r="C121" s="9" t="str">
        <f aca="false">Quarters!$E$11</f>
        <v>Q4 2023</v>
      </c>
      <c r="D121" s="7" t="s">
        <v>128</v>
      </c>
      <c r="E121" s="7" t="s">
        <v>129</v>
      </c>
      <c r="F121" s="22" t="n">
        <f aca="false">N106</f>
        <v>1253145.9741</v>
      </c>
      <c r="G121" s="25" t="n">
        <f aca="false">'LP Capital Calls'!$H$121</f>
        <v>112500</v>
      </c>
      <c r="H121" s="25" t="n">
        <f aca="false">'Distribution Waterfall'!$L$11*'LP Register'!$F$16</f>
        <v>0</v>
      </c>
      <c r="I121" s="25" t="n">
        <f aca="false">'Distribution Waterfall'!$N$11*'LP Register'!$F$16</f>
        <v>0</v>
      </c>
      <c r="J121" s="25" t="n">
        <f aca="false">'Distribution Waterfall'!$T$11*'LP Register'!$F$16</f>
        <v>0</v>
      </c>
      <c r="K121" s="26" t="n">
        <f aca="false">H121+I121+J121</f>
        <v>0</v>
      </c>
      <c r="L121" s="25" t="n">
        <f aca="false">('NAV Rollforward'!$G$11+'NAV Rollforward'!$H$11-'Mgmt Fee Schedule'!$G$11)*'LP Register'!$F$16</f>
        <v>67872.6387</v>
      </c>
      <c r="M121" s="25" t="n">
        <f aca="false">-('Distribution Waterfall'!$Q$11+'Distribution Waterfall'!$U$11)*'LP Register'!$F$16</f>
        <v>-0</v>
      </c>
      <c r="N121" s="26" t="n">
        <f aca="false">F121+G121-K121+L121+M121</f>
        <v>1433518.6128</v>
      </c>
      <c r="O121" s="7" t="str">
        <f aca="false">B121&amp;"|"&amp;D121</f>
        <v>8|LP-13</v>
      </c>
    </row>
    <row r="122" customFormat="false" ht="15" hidden="false" customHeight="true" outlineLevel="0" collapsed="false">
      <c r="B122" s="7" t="n">
        <v>8</v>
      </c>
      <c r="C122" s="9" t="str">
        <f aca="false">Quarters!$E$11</f>
        <v>Q4 2023</v>
      </c>
      <c r="D122" s="7" t="s">
        <v>130</v>
      </c>
      <c r="E122" s="7" t="s">
        <v>131</v>
      </c>
      <c r="F122" s="22" t="n">
        <f aca="false">N107</f>
        <v>1336689.03904</v>
      </c>
      <c r="G122" s="25" t="n">
        <f aca="false">'LP Capital Calls'!$H$122</f>
        <v>120000</v>
      </c>
      <c r="H122" s="25" t="n">
        <f aca="false">'Distribution Waterfall'!$L$11*'LP Register'!$F$17</f>
        <v>0</v>
      </c>
      <c r="I122" s="25" t="n">
        <f aca="false">'Distribution Waterfall'!$N$11*'LP Register'!$F$17</f>
        <v>0</v>
      </c>
      <c r="J122" s="25" t="n">
        <f aca="false">'Distribution Waterfall'!$T$11*'LP Register'!$F$17</f>
        <v>0</v>
      </c>
      <c r="K122" s="26" t="n">
        <f aca="false">H122+I122+J122</f>
        <v>0</v>
      </c>
      <c r="L122" s="25" t="n">
        <f aca="false">('NAV Rollforward'!$G$11+'NAV Rollforward'!$H$11-'Mgmt Fee Schedule'!$G$11)*'LP Register'!$F$17</f>
        <v>72397.48128</v>
      </c>
      <c r="M122" s="25" t="n">
        <f aca="false">-('Distribution Waterfall'!$Q$11+'Distribution Waterfall'!$U$11)*'LP Register'!$F$17</f>
        <v>-0</v>
      </c>
      <c r="N122" s="26" t="n">
        <f aca="false">F122+G122-K122+L122+M122</f>
        <v>1529086.52032</v>
      </c>
      <c r="O122" s="7" t="str">
        <f aca="false">B122&amp;"|"&amp;D122</f>
        <v>8|LP-14</v>
      </c>
    </row>
    <row r="123" customFormat="false" ht="15" hidden="false" customHeight="true" outlineLevel="0" collapsed="false">
      <c r="B123" s="7" t="n">
        <v>8</v>
      </c>
      <c r="C123" s="9" t="str">
        <f aca="false">Quarters!$E$11</f>
        <v>Q4 2023</v>
      </c>
      <c r="D123" s="7" t="s">
        <v>132</v>
      </c>
      <c r="E123" s="7" t="s">
        <v>133</v>
      </c>
      <c r="F123" s="22" t="n">
        <f aca="false">N108</f>
        <v>1336689.03904</v>
      </c>
      <c r="G123" s="25" t="n">
        <f aca="false">'LP Capital Calls'!$H$123</f>
        <v>120000</v>
      </c>
      <c r="H123" s="25" t="n">
        <f aca="false">'Distribution Waterfall'!$L$11*'LP Register'!$F$18</f>
        <v>0</v>
      </c>
      <c r="I123" s="25" t="n">
        <f aca="false">'Distribution Waterfall'!$N$11*'LP Register'!$F$18</f>
        <v>0</v>
      </c>
      <c r="J123" s="25" t="n">
        <f aca="false">'Distribution Waterfall'!$T$11*'LP Register'!$F$18</f>
        <v>0</v>
      </c>
      <c r="K123" s="26" t="n">
        <f aca="false">H123+I123+J123</f>
        <v>0</v>
      </c>
      <c r="L123" s="25" t="n">
        <f aca="false">('NAV Rollforward'!$G$11+'NAV Rollforward'!$H$11-'Mgmt Fee Schedule'!$G$11)*'LP Register'!$F$18</f>
        <v>72397.48128</v>
      </c>
      <c r="M123" s="25" t="n">
        <f aca="false">-('Distribution Waterfall'!$Q$11+'Distribution Waterfall'!$U$11)*'LP Register'!$F$18</f>
        <v>-0</v>
      </c>
      <c r="N123" s="26" t="n">
        <f aca="false">F123+G123-K123+L123+M123</f>
        <v>1529086.52032</v>
      </c>
      <c r="O123" s="7" t="str">
        <f aca="false">B123&amp;"|"&amp;D123</f>
        <v>8|LP-15</v>
      </c>
    </row>
    <row r="124" customFormat="false" ht="15" hidden="false" customHeight="true" outlineLevel="0" collapsed="false">
      <c r="B124" s="7" t="n">
        <v>9</v>
      </c>
      <c r="C124" s="9" t="str">
        <f aca="false">Quarters!$E$12</f>
        <v>Q1 2024</v>
      </c>
      <c r="D124" s="7" t="s">
        <v>97</v>
      </c>
      <c r="E124" s="7" t="s">
        <v>98</v>
      </c>
      <c r="F124" s="22" t="n">
        <f aca="false">N109</f>
        <v>7645432.6016</v>
      </c>
      <c r="G124" s="25" t="n">
        <f aca="false">'LP Capital Calls'!$H$124</f>
        <v>680000</v>
      </c>
      <c r="H124" s="25" t="n">
        <f aca="false">'Distribution Waterfall'!$L$12*'LP Register'!$F$4</f>
        <v>0</v>
      </c>
      <c r="I124" s="25" t="n">
        <f aca="false">'Distribution Waterfall'!$N$12*'LP Register'!$F$4</f>
        <v>0</v>
      </c>
      <c r="J124" s="25" t="n">
        <f aca="false">'Distribution Waterfall'!$T$12*'LP Register'!$F$4</f>
        <v>0</v>
      </c>
      <c r="K124" s="26" t="n">
        <f aca="false">H124+I124+J124</f>
        <v>0</v>
      </c>
      <c r="L124" s="25" t="n">
        <f aca="false">('NAV Rollforward'!$G$12+'NAV Rollforward'!$H$12-'Mgmt Fee Schedule'!$G$12)*'LP Register'!$F$4</f>
        <v>418332.608000001</v>
      </c>
      <c r="M124" s="25" t="n">
        <f aca="false">-('Distribution Waterfall'!$Q$12+'Distribution Waterfall'!$U$12)*'LP Register'!$F$4</f>
        <v>-0</v>
      </c>
      <c r="N124" s="26" t="n">
        <f aca="false">F124+G124-K124+L124+M124</f>
        <v>8743765.2096</v>
      </c>
      <c r="O124" s="7" t="str">
        <f aca="false">B124&amp;"|"&amp;D124</f>
        <v>9|LP-01</v>
      </c>
    </row>
    <row r="125" customFormat="false" ht="15" hidden="false" customHeight="true" outlineLevel="0" collapsed="false">
      <c r="B125" s="7" t="n">
        <v>9</v>
      </c>
      <c r="C125" s="9" t="str">
        <f aca="false">Quarters!$E$12</f>
        <v>Q1 2024</v>
      </c>
      <c r="D125" s="7" t="s">
        <v>100</v>
      </c>
      <c r="E125" s="7" t="s">
        <v>101</v>
      </c>
      <c r="F125" s="22" t="n">
        <f aca="false">N110</f>
        <v>5734074.4512</v>
      </c>
      <c r="G125" s="25" t="n">
        <f aca="false">'LP Capital Calls'!$H$125</f>
        <v>510000</v>
      </c>
      <c r="H125" s="25" t="n">
        <f aca="false">'Distribution Waterfall'!$L$12*'LP Register'!$F$5</f>
        <v>0</v>
      </c>
      <c r="I125" s="25" t="n">
        <f aca="false">'Distribution Waterfall'!$N$12*'LP Register'!$F$5</f>
        <v>0</v>
      </c>
      <c r="J125" s="25" t="n">
        <f aca="false">'Distribution Waterfall'!$T$12*'LP Register'!$F$5</f>
        <v>0</v>
      </c>
      <c r="K125" s="26" t="n">
        <f aca="false">H125+I125+J125</f>
        <v>0</v>
      </c>
      <c r="L125" s="25" t="n">
        <f aca="false">('NAV Rollforward'!$G$12+'NAV Rollforward'!$H$12-'Mgmt Fee Schedule'!$G$12)*'LP Register'!$F$5</f>
        <v>313749.456000001</v>
      </c>
      <c r="M125" s="25" t="n">
        <f aca="false">-('Distribution Waterfall'!$Q$12+'Distribution Waterfall'!$U$12)*'LP Register'!$F$5</f>
        <v>-0</v>
      </c>
      <c r="N125" s="26" t="n">
        <f aca="false">F125+G125-K125+L125+M125</f>
        <v>6557823.9072</v>
      </c>
      <c r="O125" s="7" t="str">
        <f aca="false">B125&amp;"|"&amp;D125</f>
        <v>9|LP-02</v>
      </c>
    </row>
    <row r="126" customFormat="false" ht="15" hidden="false" customHeight="true" outlineLevel="0" collapsed="false">
      <c r="B126" s="7" t="n">
        <v>9</v>
      </c>
      <c r="C126" s="9" t="str">
        <f aca="false">Quarters!$E$12</f>
        <v>Q1 2024</v>
      </c>
      <c r="D126" s="7" t="s">
        <v>103</v>
      </c>
      <c r="E126" s="7" t="s">
        <v>104</v>
      </c>
      <c r="F126" s="22" t="n">
        <f aca="false">N111</f>
        <v>5256234.9136</v>
      </c>
      <c r="G126" s="25" t="n">
        <f aca="false">'LP Capital Calls'!$H$126</f>
        <v>467500</v>
      </c>
      <c r="H126" s="25" t="n">
        <f aca="false">'Distribution Waterfall'!$L$12*'LP Register'!$F$6</f>
        <v>0</v>
      </c>
      <c r="I126" s="25" t="n">
        <f aca="false">'Distribution Waterfall'!$N$12*'LP Register'!$F$6</f>
        <v>0</v>
      </c>
      <c r="J126" s="25" t="n">
        <f aca="false">'Distribution Waterfall'!$T$12*'LP Register'!$F$6</f>
        <v>0</v>
      </c>
      <c r="K126" s="26" t="n">
        <f aca="false">H126+I126+J126</f>
        <v>0</v>
      </c>
      <c r="L126" s="25" t="n">
        <f aca="false">('NAV Rollforward'!$G$12+'NAV Rollforward'!$H$12-'Mgmt Fee Schedule'!$G$12)*'LP Register'!$F$6</f>
        <v>287603.668</v>
      </c>
      <c r="M126" s="25" t="n">
        <f aca="false">-('Distribution Waterfall'!$Q$12+'Distribution Waterfall'!$U$12)*'LP Register'!$F$6</f>
        <v>-0</v>
      </c>
      <c r="N126" s="26" t="n">
        <f aca="false">F126+G126-K126+L126+M126</f>
        <v>6011338.5816</v>
      </c>
      <c r="O126" s="7" t="str">
        <f aca="false">B126&amp;"|"&amp;D126</f>
        <v>9|LP-03</v>
      </c>
    </row>
    <row r="127" customFormat="false" ht="15" hidden="false" customHeight="true" outlineLevel="0" collapsed="false">
      <c r="B127" s="7" t="n">
        <v>9</v>
      </c>
      <c r="C127" s="9" t="str">
        <f aca="false">Quarters!$E$12</f>
        <v>Q1 2024</v>
      </c>
      <c r="D127" s="7" t="s">
        <v>106</v>
      </c>
      <c r="E127" s="7" t="s">
        <v>107</v>
      </c>
      <c r="F127" s="22" t="n">
        <f aca="false">N112</f>
        <v>4778395.376</v>
      </c>
      <c r="G127" s="25" t="n">
        <f aca="false">'LP Capital Calls'!$H$127</f>
        <v>425000</v>
      </c>
      <c r="H127" s="25" t="n">
        <f aca="false">'Distribution Waterfall'!$L$12*'LP Register'!$F$7</f>
        <v>0</v>
      </c>
      <c r="I127" s="25" t="n">
        <f aca="false">'Distribution Waterfall'!$N$12*'LP Register'!$F$7</f>
        <v>0</v>
      </c>
      <c r="J127" s="25" t="n">
        <f aca="false">'Distribution Waterfall'!$T$12*'LP Register'!$F$7</f>
        <v>0</v>
      </c>
      <c r="K127" s="26" t="n">
        <f aca="false">H127+I127+J127</f>
        <v>0</v>
      </c>
      <c r="L127" s="25" t="n">
        <f aca="false">('NAV Rollforward'!$G$12+'NAV Rollforward'!$H$12-'Mgmt Fee Schedule'!$G$12)*'LP Register'!$F$7</f>
        <v>261457.88</v>
      </c>
      <c r="M127" s="25" t="n">
        <f aca="false">-('Distribution Waterfall'!$Q$12+'Distribution Waterfall'!$U$12)*'LP Register'!$F$7</f>
        <v>-0</v>
      </c>
      <c r="N127" s="26" t="n">
        <f aca="false">F127+G127-K127+L127+M127</f>
        <v>5464853.256</v>
      </c>
      <c r="O127" s="7" t="str">
        <f aca="false">B127&amp;"|"&amp;D127</f>
        <v>9|LP-04</v>
      </c>
    </row>
    <row r="128" customFormat="false" ht="15" hidden="false" customHeight="true" outlineLevel="0" collapsed="false">
      <c r="B128" s="7" t="n">
        <v>9</v>
      </c>
      <c r="C128" s="9" t="str">
        <f aca="false">Quarters!$E$12</f>
        <v>Q1 2024</v>
      </c>
      <c r="D128" s="7" t="s">
        <v>109</v>
      </c>
      <c r="E128" s="7" t="s">
        <v>110</v>
      </c>
      <c r="F128" s="22" t="n">
        <f aca="false">N113</f>
        <v>3822716.3008</v>
      </c>
      <c r="G128" s="25" t="n">
        <f aca="false">'LP Capital Calls'!$H$128</f>
        <v>340000</v>
      </c>
      <c r="H128" s="25" t="n">
        <f aca="false">'Distribution Waterfall'!$L$12*'LP Register'!$F$8</f>
        <v>0</v>
      </c>
      <c r="I128" s="25" t="n">
        <f aca="false">'Distribution Waterfall'!$N$12*'LP Register'!$F$8</f>
        <v>0</v>
      </c>
      <c r="J128" s="25" t="n">
        <f aca="false">'Distribution Waterfall'!$T$12*'LP Register'!$F$8</f>
        <v>0</v>
      </c>
      <c r="K128" s="26" t="n">
        <f aca="false">H128+I128+J128</f>
        <v>0</v>
      </c>
      <c r="L128" s="25" t="n">
        <f aca="false">('NAV Rollforward'!$G$12+'NAV Rollforward'!$H$12-'Mgmt Fee Schedule'!$G$12)*'LP Register'!$F$8</f>
        <v>209166.304</v>
      </c>
      <c r="M128" s="25" t="n">
        <f aca="false">-('Distribution Waterfall'!$Q$12+'Distribution Waterfall'!$U$12)*'LP Register'!$F$8</f>
        <v>-0</v>
      </c>
      <c r="N128" s="26" t="n">
        <f aca="false">F128+G128-K128+L128+M128</f>
        <v>4371882.6048</v>
      </c>
      <c r="O128" s="7" t="str">
        <f aca="false">B128&amp;"|"&amp;D128</f>
        <v>9|LP-05</v>
      </c>
    </row>
    <row r="129" customFormat="false" ht="15" hidden="false" customHeight="true" outlineLevel="0" collapsed="false">
      <c r="B129" s="7" t="n">
        <v>9</v>
      </c>
      <c r="C129" s="9" t="str">
        <f aca="false">Quarters!$E$12</f>
        <v>Q1 2024</v>
      </c>
      <c r="D129" s="7" t="s">
        <v>112</v>
      </c>
      <c r="E129" s="7" t="s">
        <v>113</v>
      </c>
      <c r="F129" s="22" t="n">
        <f aca="false">N114</f>
        <v>3822716.3008</v>
      </c>
      <c r="G129" s="25" t="n">
        <f aca="false">'LP Capital Calls'!$H$129</f>
        <v>340000</v>
      </c>
      <c r="H129" s="25" t="n">
        <f aca="false">'Distribution Waterfall'!$L$12*'LP Register'!$F$9</f>
        <v>0</v>
      </c>
      <c r="I129" s="25" t="n">
        <f aca="false">'Distribution Waterfall'!$N$12*'LP Register'!$F$9</f>
        <v>0</v>
      </c>
      <c r="J129" s="25" t="n">
        <f aca="false">'Distribution Waterfall'!$T$12*'LP Register'!$F$9</f>
        <v>0</v>
      </c>
      <c r="K129" s="26" t="n">
        <f aca="false">H129+I129+J129</f>
        <v>0</v>
      </c>
      <c r="L129" s="25" t="n">
        <f aca="false">('NAV Rollforward'!$G$12+'NAV Rollforward'!$H$12-'Mgmt Fee Schedule'!$G$12)*'LP Register'!$F$9</f>
        <v>209166.304</v>
      </c>
      <c r="M129" s="25" t="n">
        <f aca="false">-('Distribution Waterfall'!$Q$12+'Distribution Waterfall'!$U$12)*'LP Register'!$F$9</f>
        <v>-0</v>
      </c>
      <c r="N129" s="26" t="n">
        <f aca="false">F129+G129-K129+L129+M129</f>
        <v>4371882.6048</v>
      </c>
      <c r="O129" s="7" t="str">
        <f aca="false">B129&amp;"|"&amp;D129</f>
        <v>9|LP-06</v>
      </c>
    </row>
    <row r="130" customFormat="false" ht="15" hidden="false" customHeight="true" outlineLevel="0" collapsed="false">
      <c r="B130" s="7" t="n">
        <v>9</v>
      </c>
      <c r="C130" s="9" t="str">
        <f aca="false">Quarters!$E$12</f>
        <v>Q1 2024</v>
      </c>
      <c r="D130" s="7" t="s">
        <v>115</v>
      </c>
      <c r="E130" s="7" t="s">
        <v>116</v>
      </c>
      <c r="F130" s="22" t="n">
        <f aca="false">N115</f>
        <v>2867037.2256</v>
      </c>
      <c r="G130" s="25" t="n">
        <f aca="false">'LP Capital Calls'!$H$130</f>
        <v>255000</v>
      </c>
      <c r="H130" s="25" t="n">
        <f aca="false">'Distribution Waterfall'!$L$12*'LP Register'!$F$10</f>
        <v>0</v>
      </c>
      <c r="I130" s="25" t="n">
        <f aca="false">'Distribution Waterfall'!$N$12*'LP Register'!$F$10</f>
        <v>0</v>
      </c>
      <c r="J130" s="25" t="n">
        <f aca="false">'Distribution Waterfall'!$T$12*'LP Register'!$F$10</f>
        <v>0</v>
      </c>
      <c r="K130" s="26" t="n">
        <f aca="false">H130+I130+J130</f>
        <v>0</v>
      </c>
      <c r="L130" s="25" t="n">
        <f aca="false">('NAV Rollforward'!$G$12+'NAV Rollforward'!$H$12-'Mgmt Fee Schedule'!$G$12)*'LP Register'!$F$10</f>
        <v>156874.728</v>
      </c>
      <c r="M130" s="25" t="n">
        <f aca="false">-('Distribution Waterfall'!$Q$12+'Distribution Waterfall'!$U$12)*'LP Register'!$F$10</f>
        <v>-0</v>
      </c>
      <c r="N130" s="26" t="n">
        <f aca="false">F130+G130-K130+L130+M130</f>
        <v>3278911.9536</v>
      </c>
      <c r="O130" s="7" t="str">
        <f aca="false">B130&amp;"|"&amp;D130</f>
        <v>9|LP-07</v>
      </c>
    </row>
    <row r="131" customFormat="false" ht="15" hidden="false" customHeight="true" outlineLevel="0" collapsed="false">
      <c r="B131" s="7" t="n">
        <v>9</v>
      </c>
      <c r="C131" s="9" t="str">
        <f aca="false">Quarters!$E$12</f>
        <v>Q1 2024</v>
      </c>
      <c r="D131" s="7" t="s">
        <v>117</v>
      </c>
      <c r="E131" s="7" t="s">
        <v>118</v>
      </c>
      <c r="F131" s="22" t="n">
        <f aca="false">N116</f>
        <v>2389197.688</v>
      </c>
      <c r="G131" s="25" t="n">
        <f aca="false">'LP Capital Calls'!$H$131</f>
        <v>212500</v>
      </c>
      <c r="H131" s="25" t="n">
        <f aca="false">'Distribution Waterfall'!$L$12*'LP Register'!$F$11</f>
        <v>0</v>
      </c>
      <c r="I131" s="25" t="n">
        <f aca="false">'Distribution Waterfall'!$N$12*'LP Register'!$F$11</f>
        <v>0</v>
      </c>
      <c r="J131" s="25" t="n">
        <f aca="false">'Distribution Waterfall'!$T$12*'LP Register'!$F$11</f>
        <v>0</v>
      </c>
      <c r="K131" s="26" t="n">
        <f aca="false">H131+I131+J131</f>
        <v>0</v>
      </c>
      <c r="L131" s="25" t="n">
        <f aca="false">('NAV Rollforward'!$G$12+'NAV Rollforward'!$H$12-'Mgmt Fee Schedule'!$G$12)*'LP Register'!$F$11</f>
        <v>130728.94</v>
      </c>
      <c r="M131" s="25" t="n">
        <f aca="false">-('Distribution Waterfall'!$Q$12+'Distribution Waterfall'!$U$12)*'LP Register'!$F$11</f>
        <v>-0</v>
      </c>
      <c r="N131" s="26" t="n">
        <f aca="false">F131+G131-K131+L131+M131</f>
        <v>2732426.628</v>
      </c>
      <c r="O131" s="7" t="str">
        <f aca="false">B131&amp;"|"&amp;D131</f>
        <v>9|LP-08</v>
      </c>
    </row>
    <row r="132" customFormat="false" ht="15" hidden="false" customHeight="true" outlineLevel="0" collapsed="false">
      <c r="B132" s="7" t="n">
        <v>9</v>
      </c>
      <c r="C132" s="9" t="str">
        <f aca="false">Quarters!$E$12</f>
        <v>Q1 2024</v>
      </c>
      <c r="D132" s="7" t="s">
        <v>119</v>
      </c>
      <c r="E132" s="7" t="s">
        <v>120</v>
      </c>
      <c r="F132" s="22" t="n">
        <f aca="false">N117</f>
        <v>1911358.1504</v>
      </c>
      <c r="G132" s="25" t="n">
        <f aca="false">'LP Capital Calls'!$H$132</f>
        <v>170000</v>
      </c>
      <c r="H132" s="25" t="n">
        <f aca="false">'Distribution Waterfall'!$L$12*'LP Register'!$F$12</f>
        <v>0</v>
      </c>
      <c r="I132" s="25" t="n">
        <f aca="false">'Distribution Waterfall'!$N$12*'LP Register'!$F$12</f>
        <v>0</v>
      </c>
      <c r="J132" s="25" t="n">
        <f aca="false">'Distribution Waterfall'!$T$12*'LP Register'!$F$12</f>
        <v>0</v>
      </c>
      <c r="K132" s="26" t="n">
        <f aca="false">H132+I132+J132</f>
        <v>0</v>
      </c>
      <c r="L132" s="25" t="n">
        <f aca="false">('NAV Rollforward'!$G$12+'NAV Rollforward'!$H$12-'Mgmt Fee Schedule'!$G$12)*'LP Register'!$F$12</f>
        <v>104583.152</v>
      </c>
      <c r="M132" s="25" t="n">
        <f aca="false">-('Distribution Waterfall'!$Q$12+'Distribution Waterfall'!$U$12)*'LP Register'!$F$12</f>
        <v>-0</v>
      </c>
      <c r="N132" s="26" t="n">
        <f aca="false">F132+G132-K132+L132+M132</f>
        <v>2185941.3024</v>
      </c>
      <c r="O132" s="7" t="str">
        <f aca="false">B132&amp;"|"&amp;D132</f>
        <v>9|LP-09</v>
      </c>
    </row>
    <row r="133" customFormat="false" ht="15" hidden="false" customHeight="true" outlineLevel="0" collapsed="false">
      <c r="B133" s="7" t="n">
        <v>9</v>
      </c>
      <c r="C133" s="9" t="str">
        <f aca="false">Quarters!$E$12</f>
        <v>Q1 2024</v>
      </c>
      <c r="D133" s="7" t="s">
        <v>121</v>
      </c>
      <c r="E133" s="7" t="s">
        <v>122</v>
      </c>
      <c r="F133" s="22" t="n">
        <f aca="false">N118</f>
        <v>1911358.1504</v>
      </c>
      <c r="G133" s="25" t="n">
        <f aca="false">'LP Capital Calls'!$H$133</f>
        <v>170000</v>
      </c>
      <c r="H133" s="25" t="n">
        <f aca="false">'Distribution Waterfall'!$L$12*'LP Register'!$F$13</f>
        <v>0</v>
      </c>
      <c r="I133" s="25" t="n">
        <f aca="false">'Distribution Waterfall'!$N$12*'LP Register'!$F$13</f>
        <v>0</v>
      </c>
      <c r="J133" s="25" t="n">
        <f aca="false">'Distribution Waterfall'!$T$12*'LP Register'!$F$13</f>
        <v>0</v>
      </c>
      <c r="K133" s="26" t="n">
        <f aca="false">H133+I133+J133</f>
        <v>0</v>
      </c>
      <c r="L133" s="25" t="n">
        <f aca="false">('NAV Rollforward'!$G$12+'NAV Rollforward'!$H$12-'Mgmt Fee Schedule'!$G$12)*'LP Register'!$F$13</f>
        <v>104583.152</v>
      </c>
      <c r="M133" s="25" t="n">
        <f aca="false">-('Distribution Waterfall'!$Q$12+'Distribution Waterfall'!$U$12)*'LP Register'!$F$13</f>
        <v>-0</v>
      </c>
      <c r="N133" s="26" t="n">
        <f aca="false">F133+G133-K133+L133+M133</f>
        <v>2185941.3024</v>
      </c>
      <c r="O133" s="7" t="str">
        <f aca="false">B133&amp;"|"&amp;D133</f>
        <v>9|LP-10</v>
      </c>
    </row>
    <row r="134" customFormat="false" ht="15" hidden="false" customHeight="true" outlineLevel="0" collapsed="false">
      <c r="B134" s="7" t="n">
        <v>9</v>
      </c>
      <c r="C134" s="9" t="str">
        <f aca="false">Quarters!$E$12</f>
        <v>Q1 2024</v>
      </c>
      <c r="D134" s="7" t="s">
        <v>124</v>
      </c>
      <c r="E134" s="7" t="s">
        <v>125</v>
      </c>
      <c r="F134" s="22" t="n">
        <f aca="false">N119</f>
        <v>1720222.33536</v>
      </c>
      <c r="G134" s="25" t="n">
        <f aca="false">'LP Capital Calls'!$H$134</f>
        <v>153000</v>
      </c>
      <c r="H134" s="25" t="n">
        <f aca="false">'Distribution Waterfall'!$L$12*'LP Register'!$F$14</f>
        <v>0</v>
      </c>
      <c r="I134" s="25" t="n">
        <f aca="false">'Distribution Waterfall'!$N$12*'LP Register'!$F$14</f>
        <v>0</v>
      </c>
      <c r="J134" s="25" t="n">
        <f aca="false">'Distribution Waterfall'!$T$12*'LP Register'!$F$14</f>
        <v>0</v>
      </c>
      <c r="K134" s="26" t="n">
        <f aca="false">H134+I134+J134</f>
        <v>0</v>
      </c>
      <c r="L134" s="25" t="n">
        <f aca="false">('NAV Rollforward'!$G$12+'NAV Rollforward'!$H$12-'Mgmt Fee Schedule'!$G$12)*'LP Register'!$F$14</f>
        <v>94124.8368000002</v>
      </c>
      <c r="M134" s="25" t="n">
        <f aca="false">-('Distribution Waterfall'!$Q$12+'Distribution Waterfall'!$U$12)*'LP Register'!$F$14</f>
        <v>-0</v>
      </c>
      <c r="N134" s="26" t="n">
        <f aca="false">F134+G134-K134+L134+M134</f>
        <v>1967347.17216</v>
      </c>
      <c r="O134" s="7" t="str">
        <f aca="false">B134&amp;"|"&amp;D134</f>
        <v>9|LP-11</v>
      </c>
    </row>
    <row r="135" customFormat="false" ht="15" hidden="false" customHeight="true" outlineLevel="0" collapsed="false">
      <c r="B135" s="7" t="n">
        <v>9</v>
      </c>
      <c r="C135" s="9" t="str">
        <f aca="false">Quarters!$E$12</f>
        <v>Q1 2024</v>
      </c>
      <c r="D135" s="7" t="s">
        <v>126</v>
      </c>
      <c r="E135" s="7" t="s">
        <v>127</v>
      </c>
      <c r="F135" s="22" t="n">
        <f aca="false">N120</f>
        <v>1433518.6128</v>
      </c>
      <c r="G135" s="25" t="n">
        <f aca="false">'LP Capital Calls'!$H$135</f>
        <v>127500</v>
      </c>
      <c r="H135" s="25" t="n">
        <f aca="false">'Distribution Waterfall'!$L$12*'LP Register'!$F$15</f>
        <v>0</v>
      </c>
      <c r="I135" s="25" t="n">
        <f aca="false">'Distribution Waterfall'!$N$12*'LP Register'!$F$15</f>
        <v>0</v>
      </c>
      <c r="J135" s="25" t="n">
        <f aca="false">'Distribution Waterfall'!$T$12*'LP Register'!$F$15</f>
        <v>0</v>
      </c>
      <c r="K135" s="26" t="n">
        <f aca="false">H135+I135+J135</f>
        <v>0</v>
      </c>
      <c r="L135" s="25" t="n">
        <f aca="false">('NAV Rollforward'!$G$12+'NAV Rollforward'!$H$12-'Mgmt Fee Schedule'!$G$12)*'LP Register'!$F$15</f>
        <v>78437.3640000001</v>
      </c>
      <c r="M135" s="25" t="n">
        <f aca="false">-('Distribution Waterfall'!$Q$12+'Distribution Waterfall'!$U$12)*'LP Register'!$F$15</f>
        <v>-0</v>
      </c>
      <c r="N135" s="26" t="n">
        <f aca="false">F135+G135-K135+L135+M135</f>
        <v>1639455.9768</v>
      </c>
      <c r="O135" s="7" t="str">
        <f aca="false">B135&amp;"|"&amp;D135</f>
        <v>9|LP-12</v>
      </c>
    </row>
    <row r="136" customFormat="false" ht="15" hidden="false" customHeight="true" outlineLevel="0" collapsed="false">
      <c r="B136" s="7" t="n">
        <v>9</v>
      </c>
      <c r="C136" s="9" t="str">
        <f aca="false">Quarters!$E$12</f>
        <v>Q1 2024</v>
      </c>
      <c r="D136" s="7" t="s">
        <v>128</v>
      </c>
      <c r="E136" s="7" t="s">
        <v>129</v>
      </c>
      <c r="F136" s="22" t="n">
        <f aca="false">N121</f>
        <v>1433518.6128</v>
      </c>
      <c r="G136" s="25" t="n">
        <f aca="false">'LP Capital Calls'!$H$136</f>
        <v>127500</v>
      </c>
      <c r="H136" s="25" t="n">
        <f aca="false">'Distribution Waterfall'!$L$12*'LP Register'!$F$16</f>
        <v>0</v>
      </c>
      <c r="I136" s="25" t="n">
        <f aca="false">'Distribution Waterfall'!$N$12*'LP Register'!$F$16</f>
        <v>0</v>
      </c>
      <c r="J136" s="25" t="n">
        <f aca="false">'Distribution Waterfall'!$T$12*'LP Register'!$F$16</f>
        <v>0</v>
      </c>
      <c r="K136" s="26" t="n">
        <f aca="false">H136+I136+J136</f>
        <v>0</v>
      </c>
      <c r="L136" s="25" t="n">
        <f aca="false">('NAV Rollforward'!$G$12+'NAV Rollforward'!$H$12-'Mgmt Fee Schedule'!$G$12)*'LP Register'!$F$16</f>
        <v>78437.3640000001</v>
      </c>
      <c r="M136" s="25" t="n">
        <f aca="false">-('Distribution Waterfall'!$Q$12+'Distribution Waterfall'!$U$12)*'LP Register'!$F$16</f>
        <v>-0</v>
      </c>
      <c r="N136" s="26" t="n">
        <f aca="false">F136+G136-K136+L136+M136</f>
        <v>1639455.9768</v>
      </c>
      <c r="O136" s="7" t="str">
        <f aca="false">B136&amp;"|"&amp;D136</f>
        <v>9|LP-13</v>
      </c>
    </row>
    <row r="137" customFormat="false" ht="15" hidden="false" customHeight="true" outlineLevel="0" collapsed="false">
      <c r="B137" s="7" t="n">
        <v>9</v>
      </c>
      <c r="C137" s="9" t="str">
        <f aca="false">Quarters!$E$12</f>
        <v>Q1 2024</v>
      </c>
      <c r="D137" s="7" t="s">
        <v>130</v>
      </c>
      <c r="E137" s="7" t="s">
        <v>131</v>
      </c>
      <c r="F137" s="22" t="n">
        <f aca="false">N122</f>
        <v>1529086.52032</v>
      </c>
      <c r="G137" s="25" t="n">
        <f aca="false">'LP Capital Calls'!$H$137</f>
        <v>136000</v>
      </c>
      <c r="H137" s="25" t="n">
        <f aca="false">'Distribution Waterfall'!$L$12*'LP Register'!$F$17</f>
        <v>0</v>
      </c>
      <c r="I137" s="25" t="n">
        <f aca="false">'Distribution Waterfall'!$N$12*'LP Register'!$F$17</f>
        <v>0</v>
      </c>
      <c r="J137" s="25" t="n">
        <f aca="false">'Distribution Waterfall'!$T$12*'LP Register'!$F$17</f>
        <v>0</v>
      </c>
      <c r="K137" s="26" t="n">
        <f aca="false">H137+I137+J137</f>
        <v>0</v>
      </c>
      <c r="L137" s="25" t="n">
        <f aca="false">('NAV Rollforward'!$G$12+'NAV Rollforward'!$H$12-'Mgmt Fee Schedule'!$G$12)*'LP Register'!$F$17</f>
        <v>83666.5216000001</v>
      </c>
      <c r="M137" s="25" t="n">
        <f aca="false">-('Distribution Waterfall'!$Q$12+'Distribution Waterfall'!$U$12)*'LP Register'!$F$17</f>
        <v>-0</v>
      </c>
      <c r="N137" s="26" t="n">
        <f aca="false">F137+G137-K137+L137+M137</f>
        <v>1748753.04192</v>
      </c>
      <c r="O137" s="7" t="str">
        <f aca="false">B137&amp;"|"&amp;D137</f>
        <v>9|LP-14</v>
      </c>
    </row>
    <row r="138" customFormat="false" ht="15" hidden="false" customHeight="true" outlineLevel="0" collapsed="false">
      <c r="B138" s="7" t="n">
        <v>9</v>
      </c>
      <c r="C138" s="9" t="str">
        <f aca="false">Quarters!$E$12</f>
        <v>Q1 2024</v>
      </c>
      <c r="D138" s="7" t="s">
        <v>132</v>
      </c>
      <c r="E138" s="7" t="s">
        <v>133</v>
      </c>
      <c r="F138" s="22" t="n">
        <f aca="false">N123</f>
        <v>1529086.52032</v>
      </c>
      <c r="G138" s="25" t="n">
        <f aca="false">'LP Capital Calls'!$H$138</f>
        <v>136000</v>
      </c>
      <c r="H138" s="25" t="n">
        <f aca="false">'Distribution Waterfall'!$L$12*'LP Register'!$F$18</f>
        <v>0</v>
      </c>
      <c r="I138" s="25" t="n">
        <f aca="false">'Distribution Waterfall'!$N$12*'LP Register'!$F$18</f>
        <v>0</v>
      </c>
      <c r="J138" s="25" t="n">
        <f aca="false">'Distribution Waterfall'!$T$12*'LP Register'!$F$18</f>
        <v>0</v>
      </c>
      <c r="K138" s="26" t="n">
        <f aca="false">H138+I138+J138</f>
        <v>0</v>
      </c>
      <c r="L138" s="25" t="n">
        <f aca="false">('NAV Rollforward'!$G$12+'NAV Rollforward'!$H$12-'Mgmt Fee Schedule'!$G$12)*'LP Register'!$F$18</f>
        <v>83666.5216000001</v>
      </c>
      <c r="M138" s="25" t="n">
        <f aca="false">-('Distribution Waterfall'!$Q$12+'Distribution Waterfall'!$U$12)*'LP Register'!$F$18</f>
        <v>-0</v>
      </c>
      <c r="N138" s="26" t="n">
        <f aca="false">F138+G138-K138+L138+M138</f>
        <v>1748753.04192</v>
      </c>
      <c r="O138" s="7" t="str">
        <f aca="false">B138&amp;"|"&amp;D138</f>
        <v>9|LP-15</v>
      </c>
    </row>
    <row r="139" customFormat="false" ht="15" hidden="false" customHeight="true" outlineLevel="0" collapsed="false">
      <c r="B139" s="7" t="n">
        <v>10</v>
      </c>
      <c r="C139" s="9" t="str">
        <f aca="false">Quarters!$E$13</f>
        <v>Q2 2024</v>
      </c>
      <c r="D139" s="7" t="s">
        <v>97</v>
      </c>
      <c r="E139" s="7" t="s">
        <v>98</v>
      </c>
      <c r="F139" s="22" t="n">
        <f aca="false">N124</f>
        <v>8743765.2096</v>
      </c>
      <c r="G139" s="25" t="n">
        <f aca="false">'LP Capital Calls'!$H$139</f>
        <v>600000</v>
      </c>
      <c r="H139" s="25" t="n">
        <f aca="false">'Distribution Waterfall'!$L$13*'LP Register'!$F$4</f>
        <v>0</v>
      </c>
      <c r="I139" s="25" t="n">
        <f aca="false">'Distribution Waterfall'!$N$13*'LP Register'!$F$4</f>
        <v>0</v>
      </c>
      <c r="J139" s="25" t="n">
        <f aca="false">'Distribution Waterfall'!$T$13*'LP Register'!$F$4</f>
        <v>0</v>
      </c>
      <c r="K139" s="26" t="n">
        <f aca="false">H139+I139+J139</f>
        <v>0</v>
      </c>
      <c r="L139" s="25" t="n">
        <f aca="false">('NAV Rollforward'!$G$13+'NAV Rollforward'!$H$13-'Mgmt Fee Schedule'!$G$13)*'LP Register'!$F$4</f>
        <v>488580.289599999</v>
      </c>
      <c r="M139" s="25" t="n">
        <f aca="false">-('Distribution Waterfall'!$Q$13+'Distribution Waterfall'!$U$13)*'LP Register'!$F$4</f>
        <v>-0</v>
      </c>
      <c r="N139" s="26" t="n">
        <f aca="false">F139+G139-K139+L139+M139</f>
        <v>9832345.4992</v>
      </c>
      <c r="O139" s="7" t="str">
        <f aca="false">B139&amp;"|"&amp;D139</f>
        <v>10|LP-01</v>
      </c>
    </row>
    <row r="140" customFormat="false" ht="15" hidden="false" customHeight="true" outlineLevel="0" collapsed="false">
      <c r="B140" s="7" t="n">
        <v>10</v>
      </c>
      <c r="C140" s="9" t="str">
        <f aca="false">Quarters!$E$13</f>
        <v>Q2 2024</v>
      </c>
      <c r="D140" s="7" t="s">
        <v>100</v>
      </c>
      <c r="E140" s="7" t="s">
        <v>101</v>
      </c>
      <c r="F140" s="22" t="n">
        <f aca="false">N125</f>
        <v>6557823.9072</v>
      </c>
      <c r="G140" s="25" t="n">
        <f aca="false">'LP Capital Calls'!$H$140</f>
        <v>450000</v>
      </c>
      <c r="H140" s="25" t="n">
        <f aca="false">'Distribution Waterfall'!$L$13*'LP Register'!$F$5</f>
        <v>0</v>
      </c>
      <c r="I140" s="25" t="n">
        <f aca="false">'Distribution Waterfall'!$N$13*'LP Register'!$F$5</f>
        <v>0</v>
      </c>
      <c r="J140" s="25" t="n">
        <f aca="false">'Distribution Waterfall'!$T$13*'LP Register'!$F$5</f>
        <v>0</v>
      </c>
      <c r="K140" s="26" t="n">
        <f aca="false">H140+I140+J140</f>
        <v>0</v>
      </c>
      <c r="L140" s="25" t="n">
        <f aca="false">('NAV Rollforward'!$G$13+'NAV Rollforward'!$H$13-'Mgmt Fee Schedule'!$G$13)*'LP Register'!$F$5</f>
        <v>366435.217199999</v>
      </c>
      <c r="M140" s="25" t="n">
        <f aca="false">-('Distribution Waterfall'!$Q$13+'Distribution Waterfall'!$U$13)*'LP Register'!$F$5</f>
        <v>-0</v>
      </c>
      <c r="N140" s="26" t="n">
        <f aca="false">F140+G140-K140+L140+M140</f>
        <v>7374259.1244</v>
      </c>
      <c r="O140" s="7" t="str">
        <f aca="false">B140&amp;"|"&amp;D140</f>
        <v>10|LP-02</v>
      </c>
    </row>
    <row r="141" customFormat="false" ht="15" hidden="false" customHeight="true" outlineLevel="0" collapsed="false">
      <c r="B141" s="7" t="n">
        <v>10</v>
      </c>
      <c r="C141" s="9" t="str">
        <f aca="false">Quarters!$E$13</f>
        <v>Q2 2024</v>
      </c>
      <c r="D141" s="7" t="s">
        <v>103</v>
      </c>
      <c r="E141" s="7" t="s">
        <v>104</v>
      </c>
      <c r="F141" s="22" t="n">
        <f aca="false">N126</f>
        <v>6011338.5816</v>
      </c>
      <c r="G141" s="25" t="n">
        <f aca="false">'LP Capital Calls'!$H$141</f>
        <v>412500</v>
      </c>
      <c r="H141" s="25" t="n">
        <f aca="false">'Distribution Waterfall'!$L$13*'LP Register'!$F$6</f>
        <v>0</v>
      </c>
      <c r="I141" s="25" t="n">
        <f aca="false">'Distribution Waterfall'!$N$13*'LP Register'!$F$6</f>
        <v>0</v>
      </c>
      <c r="J141" s="25" t="n">
        <f aca="false">'Distribution Waterfall'!$T$13*'LP Register'!$F$6</f>
        <v>0</v>
      </c>
      <c r="K141" s="26" t="n">
        <f aca="false">H141+I141+J141</f>
        <v>0</v>
      </c>
      <c r="L141" s="25" t="n">
        <f aca="false">('NAV Rollforward'!$G$13+'NAV Rollforward'!$H$13-'Mgmt Fee Schedule'!$G$13)*'LP Register'!$F$6</f>
        <v>335898.949099999</v>
      </c>
      <c r="M141" s="25" t="n">
        <f aca="false">-('Distribution Waterfall'!$Q$13+'Distribution Waterfall'!$U$13)*'LP Register'!$F$6</f>
        <v>-0</v>
      </c>
      <c r="N141" s="26" t="n">
        <f aca="false">F141+G141-K141+L141+M141</f>
        <v>6759737.5307</v>
      </c>
      <c r="O141" s="7" t="str">
        <f aca="false">B141&amp;"|"&amp;D141</f>
        <v>10|LP-03</v>
      </c>
    </row>
    <row r="142" customFormat="false" ht="15" hidden="false" customHeight="true" outlineLevel="0" collapsed="false">
      <c r="B142" s="7" t="n">
        <v>10</v>
      </c>
      <c r="C142" s="9" t="str">
        <f aca="false">Quarters!$E$13</f>
        <v>Q2 2024</v>
      </c>
      <c r="D142" s="7" t="s">
        <v>106</v>
      </c>
      <c r="E142" s="7" t="s">
        <v>107</v>
      </c>
      <c r="F142" s="22" t="n">
        <f aca="false">N127</f>
        <v>5464853.256</v>
      </c>
      <c r="G142" s="25" t="n">
        <f aca="false">'LP Capital Calls'!$H$142</f>
        <v>375000</v>
      </c>
      <c r="H142" s="25" t="n">
        <f aca="false">'Distribution Waterfall'!$L$13*'LP Register'!$F$7</f>
        <v>0</v>
      </c>
      <c r="I142" s="25" t="n">
        <f aca="false">'Distribution Waterfall'!$N$13*'LP Register'!$F$7</f>
        <v>0</v>
      </c>
      <c r="J142" s="25" t="n">
        <f aca="false">'Distribution Waterfall'!$T$13*'LP Register'!$F$7</f>
        <v>0</v>
      </c>
      <c r="K142" s="26" t="n">
        <f aca="false">H142+I142+J142</f>
        <v>0</v>
      </c>
      <c r="L142" s="25" t="n">
        <f aca="false">('NAV Rollforward'!$G$13+'NAV Rollforward'!$H$13-'Mgmt Fee Schedule'!$G$13)*'LP Register'!$F$7</f>
        <v>305362.681</v>
      </c>
      <c r="M142" s="25" t="n">
        <f aca="false">-('Distribution Waterfall'!$Q$13+'Distribution Waterfall'!$U$13)*'LP Register'!$F$7</f>
        <v>-0</v>
      </c>
      <c r="N142" s="26" t="n">
        <f aca="false">F142+G142-K142+L142+M142</f>
        <v>6145215.937</v>
      </c>
      <c r="O142" s="7" t="str">
        <f aca="false">B142&amp;"|"&amp;D142</f>
        <v>10|LP-04</v>
      </c>
    </row>
    <row r="143" customFormat="false" ht="15" hidden="false" customHeight="true" outlineLevel="0" collapsed="false">
      <c r="B143" s="7" t="n">
        <v>10</v>
      </c>
      <c r="C143" s="9" t="str">
        <f aca="false">Quarters!$E$13</f>
        <v>Q2 2024</v>
      </c>
      <c r="D143" s="7" t="s">
        <v>109</v>
      </c>
      <c r="E143" s="7" t="s">
        <v>110</v>
      </c>
      <c r="F143" s="22" t="n">
        <f aca="false">N128</f>
        <v>4371882.6048</v>
      </c>
      <c r="G143" s="25" t="n">
        <f aca="false">'LP Capital Calls'!$H$143</f>
        <v>300000</v>
      </c>
      <c r="H143" s="25" t="n">
        <f aca="false">'Distribution Waterfall'!$L$13*'LP Register'!$F$8</f>
        <v>0</v>
      </c>
      <c r="I143" s="25" t="n">
        <f aca="false">'Distribution Waterfall'!$N$13*'LP Register'!$F$8</f>
        <v>0</v>
      </c>
      <c r="J143" s="25" t="n">
        <f aca="false">'Distribution Waterfall'!$T$13*'LP Register'!$F$8</f>
        <v>0</v>
      </c>
      <c r="K143" s="26" t="n">
        <f aca="false">H143+I143+J143</f>
        <v>0</v>
      </c>
      <c r="L143" s="25" t="n">
        <f aca="false">('NAV Rollforward'!$G$13+'NAV Rollforward'!$H$13-'Mgmt Fee Schedule'!$G$13)*'LP Register'!$F$8</f>
        <v>244290.1448</v>
      </c>
      <c r="M143" s="25" t="n">
        <f aca="false">-('Distribution Waterfall'!$Q$13+'Distribution Waterfall'!$U$13)*'LP Register'!$F$8</f>
        <v>-0</v>
      </c>
      <c r="N143" s="26" t="n">
        <f aca="false">F143+G143-K143+L143+M143</f>
        <v>4916172.7496</v>
      </c>
      <c r="O143" s="7" t="str">
        <f aca="false">B143&amp;"|"&amp;D143</f>
        <v>10|LP-05</v>
      </c>
    </row>
    <row r="144" customFormat="false" ht="15" hidden="false" customHeight="true" outlineLevel="0" collapsed="false">
      <c r="B144" s="7" t="n">
        <v>10</v>
      </c>
      <c r="C144" s="9" t="str">
        <f aca="false">Quarters!$E$13</f>
        <v>Q2 2024</v>
      </c>
      <c r="D144" s="7" t="s">
        <v>112</v>
      </c>
      <c r="E144" s="7" t="s">
        <v>113</v>
      </c>
      <c r="F144" s="22" t="n">
        <f aca="false">N129</f>
        <v>4371882.6048</v>
      </c>
      <c r="G144" s="25" t="n">
        <f aca="false">'LP Capital Calls'!$H$144</f>
        <v>300000</v>
      </c>
      <c r="H144" s="25" t="n">
        <f aca="false">'Distribution Waterfall'!$L$13*'LP Register'!$F$9</f>
        <v>0</v>
      </c>
      <c r="I144" s="25" t="n">
        <f aca="false">'Distribution Waterfall'!$N$13*'LP Register'!$F$9</f>
        <v>0</v>
      </c>
      <c r="J144" s="25" t="n">
        <f aca="false">'Distribution Waterfall'!$T$13*'LP Register'!$F$9</f>
        <v>0</v>
      </c>
      <c r="K144" s="26" t="n">
        <f aca="false">H144+I144+J144</f>
        <v>0</v>
      </c>
      <c r="L144" s="25" t="n">
        <f aca="false">('NAV Rollforward'!$G$13+'NAV Rollforward'!$H$13-'Mgmt Fee Schedule'!$G$13)*'LP Register'!$F$9</f>
        <v>244290.1448</v>
      </c>
      <c r="M144" s="25" t="n">
        <f aca="false">-('Distribution Waterfall'!$Q$13+'Distribution Waterfall'!$U$13)*'LP Register'!$F$9</f>
        <v>-0</v>
      </c>
      <c r="N144" s="26" t="n">
        <f aca="false">F144+G144-K144+L144+M144</f>
        <v>4916172.7496</v>
      </c>
      <c r="O144" s="7" t="str">
        <f aca="false">B144&amp;"|"&amp;D144</f>
        <v>10|LP-06</v>
      </c>
    </row>
    <row r="145" customFormat="false" ht="15" hidden="false" customHeight="true" outlineLevel="0" collapsed="false">
      <c r="B145" s="7" t="n">
        <v>10</v>
      </c>
      <c r="C145" s="9" t="str">
        <f aca="false">Quarters!$E$13</f>
        <v>Q2 2024</v>
      </c>
      <c r="D145" s="7" t="s">
        <v>115</v>
      </c>
      <c r="E145" s="7" t="s">
        <v>116</v>
      </c>
      <c r="F145" s="22" t="n">
        <f aca="false">N130</f>
        <v>3278911.9536</v>
      </c>
      <c r="G145" s="25" t="n">
        <f aca="false">'LP Capital Calls'!$H$145</f>
        <v>225000</v>
      </c>
      <c r="H145" s="25" t="n">
        <f aca="false">'Distribution Waterfall'!$L$13*'LP Register'!$F$10</f>
        <v>0</v>
      </c>
      <c r="I145" s="25" t="n">
        <f aca="false">'Distribution Waterfall'!$N$13*'LP Register'!$F$10</f>
        <v>0</v>
      </c>
      <c r="J145" s="25" t="n">
        <f aca="false">'Distribution Waterfall'!$T$13*'LP Register'!$F$10</f>
        <v>0</v>
      </c>
      <c r="K145" s="26" t="n">
        <f aca="false">H145+I145+J145</f>
        <v>0</v>
      </c>
      <c r="L145" s="25" t="n">
        <f aca="false">('NAV Rollforward'!$G$13+'NAV Rollforward'!$H$13-'Mgmt Fee Schedule'!$G$13)*'LP Register'!$F$10</f>
        <v>183217.6086</v>
      </c>
      <c r="M145" s="25" t="n">
        <f aca="false">-('Distribution Waterfall'!$Q$13+'Distribution Waterfall'!$U$13)*'LP Register'!$F$10</f>
        <v>-0</v>
      </c>
      <c r="N145" s="26" t="n">
        <f aca="false">F145+G145-K145+L145+M145</f>
        <v>3687129.5622</v>
      </c>
      <c r="O145" s="7" t="str">
        <f aca="false">B145&amp;"|"&amp;D145</f>
        <v>10|LP-07</v>
      </c>
    </row>
    <row r="146" customFormat="false" ht="15" hidden="false" customHeight="true" outlineLevel="0" collapsed="false">
      <c r="B146" s="7" t="n">
        <v>10</v>
      </c>
      <c r="C146" s="9" t="str">
        <f aca="false">Quarters!$E$13</f>
        <v>Q2 2024</v>
      </c>
      <c r="D146" s="7" t="s">
        <v>117</v>
      </c>
      <c r="E146" s="7" t="s">
        <v>118</v>
      </c>
      <c r="F146" s="22" t="n">
        <f aca="false">N131</f>
        <v>2732426.628</v>
      </c>
      <c r="G146" s="25" t="n">
        <f aca="false">'LP Capital Calls'!$H$146</f>
        <v>187500</v>
      </c>
      <c r="H146" s="25" t="n">
        <f aca="false">'Distribution Waterfall'!$L$13*'LP Register'!$F$11</f>
        <v>0</v>
      </c>
      <c r="I146" s="25" t="n">
        <f aca="false">'Distribution Waterfall'!$N$13*'LP Register'!$F$11</f>
        <v>0</v>
      </c>
      <c r="J146" s="25" t="n">
        <f aca="false">'Distribution Waterfall'!$T$13*'LP Register'!$F$11</f>
        <v>0</v>
      </c>
      <c r="K146" s="26" t="n">
        <f aca="false">H146+I146+J146</f>
        <v>0</v>
      </c>
      <c r="L146" s="25" t="n">
        <f aca="false">('NAV Rollforward'!$G$13+'NAV Rollforward'!$H$13-'Mgmt Fee Schedule'!$G$13)*'LP Register'!$F$11</f>
        <v>152681.3405</v>
      </c>
      <c r="M146" s="25" t="n">
        <f aca="false">-('Distribution Waterfall'!$Q$13+'Distribution Waterfall'!$U$13)*'LP Register'!$F$11</f>
        <v>-0</v>
      </c>
      <c r="N146" s="26" t="n">
        <f aca="false">F146+G146-K146+L146+M146</f>
        <v>3072607.9685</v>
      </c>
      <c r="O146" s="7" t="str">
        <f aca="false">B146&amp;"|"&amp;D146</f>
        <v>10|LP-08</v>
      </c>
    </row>
    <row r="147" customFormat="false" ht="15" hidden="false" customHeight="true" outlineLevel="0" collapsed="false">
      <c r="B147" s="7" t="n">
        <v>10</v>
      </c>
      <c r="C147" s="9" t="str">
        <f aca="false">Quarters!$E$13</f>
        <v>Q2 2024</v>
      </c>
      <c r="D147" s="7" t="s">
        <v>119</v>
      </c>
      <c r="E147" s="7" t="s">
        <v>120</v>
      </c>
      <c r="F147" s="22" t="n">
        <f aca="false">N132</f>
        <v>2185941.3024</v>
      </c>
      <c r="G147" s="25" t="n">
        <f aca="false">'LP Capital Calls'!$H$147</f>
        <v>150000</v>
      </c>
      <c r="H147" s="25" t="n">
        <f aca="false">'Distribution Waterfall'!$L$13*'LP Register'!$F$12</f>
        <v>0</v>
      </c>
      <c r="I147" s="25" t="n">
        <f aca="false">'Distribution Waterfall'!$N$13*'LP Register'!$F$12</f>
        <v>0</v>
      </c>
      <c r="J147" s="25" t="n">
        <f aca="false">'Distribution Waterfall'!$T$13*'LP Register'!$F$12</f>
        <v>0</v>
      </c>
      <c r="K147" s="26" t="n">
        <f aca="false">H147+I147+J147</f>
        <v>0</v>
      </c>
      <c r="L147" s="25" t="n">
        <f aca="false">('NAV Rollforward'!$G$13+'NAV Rollforward'!$H$13-'Mgmt Fee Schedule'!$G$13)*'LP Register'!$F$12</f>
        <v>122145.0724</v>
      </c>
      <c r="M147" s="25" t="n">
        <f aca="false">-('Distribution Waterfall'!$Q$13+'Distribution Waterfall'!$U$13)*'LP Register'!$F$12</f>
        <v>-0</v>
      </c>
      <c r="N147" s="26" t="n">
        <f aca="false">F147+G147-K147+L147+M147</f>
        <v>2458086.3748</v>
      </c>
      <c r="O147" s="7" t="str">
        <f aca="false">B147&amp;"|"&amp;D147</f>
        <v>10|LP-09</v>
      </c>
    </row>
    <row r="148" customFormat="false" ht="15" hidden="false" customHeight="true" outlineLevel="0" collapsed="false">
      <c r="B148" s="7" t="n">
        <v>10</v>
      </c>
      <c r="C148" s="9" t="str">
        <f aca="false">Quarters!$E$13</f>
        <v>Q2 2024</v>
      </c>
      <c r="D148" s="7" t="s">
        <v>121</v>
      </c>
      <c r="E148" s="7" t="s">
        <v>122</v>
      </c>
      <c r="F148" s="22" t="n">
        <f aca="false">N133</f>
        <v>2185941.3024</v>
      </c>
      <c r="G148" s="25" t="n">
        <f aca="false">'LP Capital Calls'!$H$148</f>
        <v>150000</v>
      </c>
      <c r="H148" s="25" t="n">
        <f aca="false">'Distribution Waterfall'!$L$13*'LP Register'!$F$13</f>
        <v>0</v>
      </c>
      <c r="I148" s="25" t="n">
        <f aca="false">'Distribution Waterfall'!$N$13*'LP Register'!$F$13</f>
        <v>0</v>
      </c>
      <c r="J148" s="25" t="n">
        <f aca="false">'Distribution Waterfall'!$T$13*'LP Register'!$F$13</f>
        <v>0</v>
      </c>
      <c r="K148" s="26" t="n">
        <f aca="false">H148+I148+J148</f>
        <v>0</v>
      </c>
      <c r="L148" s="25" t="n">
        <f aca="false">('NAV Rollforward'!$G$13+'NAV Rollforward'!$H$13-'Mgmt Fee Schedule'!$G$13)*'LP Register'!$F$13</f>
        <v>122145.0724</v>
      </c>
      <c r="M148" s="25" t="n">
        <f aca="false">-('Distribution Waterfall'!$Q$13+'Distribution Waterfall'!$U$13)*'LP Register'!$F$13</f>
        <v>-0</v>
      </c>
      <c r="N148" s="26" t="n">
        <f aca="false">F148+G148-K148+L148+M148</f>
        <v>2458086.3748</v>
      </c>
      <c r="O148" s="7" t="str">
        <f aca="false">B148&amp;"|"&amp;D148</f>
        <v>10|LP-10</v>
      </c>
    </row>
    <row r="149" customFormat="false" ht="15" hidden="false" customHeight="true" outlineLevel="0" collapsed="false">
      <c r="B149" s="7" t="n">
        <v>10</v>
      </c>
      <c r="C149" s="9" t="str">
        <f aca="false">Quarters!$E$13</f>
        <v>Q2 2024</v>
      </c>
      <c r="D149" s="7" t="s">
        <v>124</v>
      </c>
      <c r="E149" s="7" t="s">
        <v>125</v>
      </c>
      <c r="F149" s="22" t="n">
        <f aca="false">N134</f>
        <v>1967347.17216</v>
      </c>
      <c r="G149" s="25" t="n">
        <f aca="false">'LP Capital Calls'!$H$149</f>
        <v>135000</v>
      </c>
      <c r="H149" s="25" t="n">
        <f aca="false">'Distribution Waterfall'!$L$13*'LP Register'!$F$14</f>
        <v>0</v>
      </c>
      <c r="I149" s="25" t="n">
        <f aca="false">'Distribution Waterfall'!$N$13*'LP Register'!$F$14</f>
        <v>0</v>
      </c>
      <c r="J149" s="25" t="n">
        <f aca="false">'Distribution Waterfall'!$T$13*'LP Register'!$F$14</f>
        <v>0</v>
      </c>
      <c r="K149" s="26" t="n">
        <f aca="false">H149+I149+J149</f>
        <v>0</v>
      </c>
      <c r="L149" s="25" t="n">
        <f aca="false">('NAV Rollforward'!$G$13+'NAV Rollforward'!$H$13-'Mgmt Fee Schedule'!$G$13)*'LP Register'!$F$14</f>
        <v>109930.56516</v>
      </c>
      <c r="M149" s="25" t="n">
        <f aca="false">-('Distribution Waterfall'!$Q$13+'Distribution Waterfall'!$U$13)*'LP Register'!$F$14</f>
        <v>-0</v>
      </c>
      <c r="N149" s="26" t="n">
        <f aca="false">F149+G149-K149+L149+M149</f>
        <v>2212277.73732</v>
      </c>
      <c r="O149" s="7" t="str">
        <f aca="false">B149&amp;"|"&amp;D149</f>
        <v>10|LP-11</v>
      </c>
    </row>
    <row r="150" customFormat="false" ht="15" hidden="false" customHeight="true" outlineLevel="0" collapsed="false">
      <c r="B150" s="7" t="n">
        <v>10</v>
      </c>
      <c r="C150" s="9" t="str">
        <f aca="false">Quarters!$E$13</f>
        <v>Q2 2024</v>
      </c>
      <c r="D150" s="7" t="s">
        <v>126</v>
      </c>
      <c r="E150" s="7" t="s">
        <v>127</v>
      </c>
      <c r="F150" s="22" t="n">
        <f aca="false">N135</f>
        <v>1639455.9768</v>
      </c>
      <c r="G150" s="25" t="n">
        <f aca="false">'LP Capital Calls'!$H$150</f>
        <v>112500</v>
      </c>
      <c r="H150" s="25" t="n">
        <f aca="false">'Distribution Waterfall'!$L$13*'LP Register'!$F$15</f>
        <v>0</v>
      </c>
      <c r="I150" s="25" t="n">
        <f aca="false">'Distribution Waterfall'!$N$13*'LP Register'!$F$15</f>
        <v>0</v>
      </c>
      <c r="J150" s="25" t="n">
        <f aca="false">'Distribution Waterfall'!$T$13*'LP Register'!$F$15</f>
        <v>0</v>
      </c>
      <c r="K150" s="26" t="n">
        <f aca="false">H150+I150+J150</f>
        <v>0</v>
      </c>
      <c r="L150" s="25" t="n">
        <f aca="false">('NAV Rollforward'!$G$13+'NAV Rollforward'!$H$13-'Mgmt Fee Schedule'!$G$13)*'LP Register'!$F$15</f>
        <v>91608.8042999998</v>
      </c>
      <c r="M150" s="25" t="n">
        <f aca="false">-('Distribution Waterfall'!$Q$13+'Distribution Waterfall'!$U$13)*'LP Register'!$F$15</f>
        <v>-0</v>
      </c>
      <c r="N150" s="26" t="n">
        <f aca="false">F150+G150-K150+L150+M150</f>
        <v>1843564.7811</v>
      </c>
      <c r="O150" s="7" t="str">
        <f aca="false">B150&amp;"|"&amp;D150</f>
        <v>10|LP-12</v>
      </c>
    </row>
    <row r="151" customFormat="false" ht="15" hidden="false" customHeight="true" outlineLevel="0" collapsed="false">
      <c r="B151" s="7" t="n">
        <v>10</v>
      </c>
      <c r="C151" s="9" t="str">
        <f aca="false">Quarters!$E$13</f>
        <v>Q2 2024</v>
      </c>
      <c r="D151" s="7" t="s">
        <v>128</v>
      </c>
      <c r="E151" s="7" t="s">
        <v>129</v>
      </c>
      <c r="F151" s="22" t="n">
        <f aca="false">N136</f>
        <v>1639455.9768</v>
      </c>
      <c r="G151" s="25" t="n">
        <f aca="false">'LP Capital Calls'!$H$151</f>
        <v>112500</v>
      </c>
      <c r="H151" s="25" t="n">
        <f aca="false">'Distribution Waterfall'!$L$13*'LP Register'!$F$16</f>
        <v>0</v>
      </c>
      <c r="I151" s="25" t="n">
        <f aca="false">'Distribution Waterfall'!$N$13*'LP Register'!$F$16</f>
        <v>0</v>
      </c>
      <c r="J151" s="25" t="n">
        <f aca="false">'Distribution Waterfall'!$T$13*'LP Register'!$F$16</f>
        <v>0</v>
      </c>
      <c r="K151" s="26" t="n">
        <f aca="false">H151+I151+J151</f>
        <v>0</v>
      </c>
      <c r="L151" s="25" t="n">
        <f aca="false">('NAV Rollforward'!$G$13+'NAV Rollforward'!$H$13-'Mgmt Fee Schedule'!$G$13)*'LP Register'!$F$16</f>
        <v>91608.8042999998</v>
      </c>
      <c r="M151" s="25" t="n">
        <f aca="false">-('Distribution Waterfall'!$Q$13+'Distribution Waterfall'!$U$13)*'LP Register'!$F$16</f>
        <v>-0</v>
      </c>
      <c r="N151" s="26" t="n">
        <f aca="false">F151+G151-K151+L151+M151</f>
        <v>1843564.7811</v>
      </c>
      <c r="O151" s="7" t="str">
        <f aca="false">B151&amp;"|"&amp;D151</f>
        <v>10|LP-13</v>
      </c>
    </row>
    <row r="152" customFormat="false" ht="15" hidden="false" customHeight="true" outlineLevel="0" collapsed="false">
      <c r="B152" s="7" t="n">
        <v>10</v>
      </c>
      <c r="C152" s="9" t="str">
        <f aca="false">Quarters!$E$13</f>
        <v>Q2 2024</v>
      </c>
      <c r="D152" s="7" t="s">
        <v>130</v>
      </c>
      <c r="E152" s="7" t="s">
        <v>131</v>
      </c>
      <c r="F152" s="22" t="n">
        <f aca="false">N137</f>
        <v>1748753.04192</v>
      </c>
      <c r="G152" s="25" t="n">
        <f aca="false">'LP Capital Calls'!$H$152</f>
        <v>120000</v>
      </c>
      <c r="H152" s="25" t="n">
        <f aca="false">'Distribution Waterfall'!$L$13*'LP Register'!$F$17</f>
        <v>0</v>
      </c>
      <c r="I152" s="25" t="n">
        <f aca="false">'Distribution Waterfall'!$N$13*'LP Register'!$F$17</f>
        <v>0</v>
      </c>
      <c r="J152" s="25" t="n">
        <f aca="false">'Distribution Waterfall'!$T$13*'LP Register'!$F$17</f>
        <v>0</v>
      </c>
      <c r="K152" s="26" t="n">
        <f aca="false">H152+I152+J152</f>
        <v>0</v>
      </c>
      <c r="L152" s="25" t="n">
        <f aca="false">('NAV Rollforward'!$G$13+'NAV Rollforward'!$H$13-'Mgmt Fee Schedule'!$G$13)*'LP Register'!$F$17</f>
        <v>97716.0579199999</v>
      </c>
      <c r="M152" s="25" t="n">
        <f aca="false">-('Distribution Waterfall'!$Q$13+'Distribution Waterfall'!$U$13)*'LP Register'!$F$17</f>
        <v>-0</v>
      </c>
      <c r="N152" s="26" t="n">
        <f aca="false">F152+G152-K152+L152+M152</f>
        <v>1966469.09984</v>
      </c>
      <c r="O152" s="7" t="str">
        <f aca="false">B152&amp;"|"&amp;D152</f>
        <v>10|LP-14</v>
      </c>
    </row>
    <row r="153" customFormat="false" ht="15" hidden="false" customHeight="true" outlineLevel="0" collapsed="false">
      <c r="B153" s="7" t="n">
        <v>10</v>
      </c>
      <c r="C153" s="9" t="str">
        <f aca="false">Quarters!$E$13</f>
        <v>Q2 2024</v>
      </c>
      <c r="D153" s="7" t="s">
        <v>132</v>
      </c>
      <c r="E153" s="7" t="s">
        <v>133</v>
      </c>
      <c r="F153" s="22" t="n">
        <f aca="false">N138</f>
        <v>1748753.04192</v>
      </c>
      <c r="G153" s="25" t="n">
        <f aca="false">'LP Capital Calls'!$H$153</f>
        <v>120000</v>
      </c>
      <c r="H153" s="25" t="n">
        <f aca="false">'Distribution Waterfall'!$L$13*'LP Register'!$F$18</f>
        <v>0</v>
      </c>
      <c r="I153" s="25" t="n">
        <f aca="false">'Distribution Waterfall'!$N$13*'LP Register'!$F$18</f>
        <v>0</v>
      </c>
      <c r="J153" s="25" t="n">
        <f aca="false">'Distribution Waterfall'!$T$13*'LP Register'!$F$18</f>
        <v>0</v>
      </c>
      <c r="K153" s="26" t="n">
        <f aca="false">H153+I153+J153</f>
        <v>0</v>
      </c>
      <c r="L153" s="25" t="n">
        <f aca="false">('NAV Rollforward'!$G$13+'NAV Rollforward'!$H$13-'Mgmt Fee Schedule'!$G$13)*'LP Register'!$F$18</f>
        <v>97716.0579199999</v>
      </c>
      <c r="M153" s="25" t="n">
        <f aca="false">-('Distribution Waterfall'!$Q$13+'Distribution Waterfall'!$U$13)*'LP Register'!$F$18</f>
        <v>-0</v>
      </c>
      <c r="N153" s="26" t="n">
        <f aca="false">F153+G153-K153+L153+M153</f>
        <v>1966469.09984</v>
      </c>
      <c r="O153" s="7" t="str">
        <f aca="false">B153&amp;"|"&amp;D153</f>
        <v>10|LP-15</v>
      </c>
    </row>
    <row r="154" customFormat="false" ht="15" hidden="false" customHeight="true" outlineLevel="0" collapsed="false">
      <c r="B154" s="7" t="n">
        <v>11</v>
      </c>
      <c r="C154" s="9" t="str">
        <f aca="false">Quarters!$E$14</f>
        <v>Q3 2024</v>
      </c>
      <c r="D154" s="7" t="s">
        <v>97</v>
      </c>
      <c r="E154" s="7" t="s">
        <v>98</v>
      </c>
      <c r="F154" s="22" t="n">
        <f aca="false">N139</f>
        <v>9832345.4992</v>
      </c>
      <c r="G154" s="25" t="n">
        <f aca="false">'LP Capital Calls'!$H$154</f>
        <v>40000</v>
      </c>
      <c r="H154" s="25" t="n">
        <f aca="false">'Distribution Waterfall'!$L$14*'LP Register'!$F$4</f>
        <v>0</v>
      </c>
      <c r="I154" s="25" t="n">
        <f aca="false">'Distribution Waterfall'!$N$14*'LP Register'!$F$4</f>
        <v>0</v>
      </c>
      <c r="J154" s="25" t="n">
        <f aca="false">'Distribution Waterfall'!$T$14*'LP Register'!$F$4</f>
        <v>0</v>
      </c>
      <c r="K154" s="26" t="n">
        <f aca="false">H154+I154+J154</f>
        <v>0</v>
      </c>
      <c r="L154" s="25" t="n">
        <f aca="false">('NAV Rollforward'!$G$14+'NAV Rollforward'!$H$14-'Mgmt Fee Schedule'!$G$14)*'LP Register'!$F$4</f>
        <v>546194.728000001</v>
      </c>
      <c r="M154" s="25" t="n">
        <f aca="false">-('Distribution Waterfall'!$Q$14+'Distribution Waterfall'!$U$14)*'LP Register'!$F$4</f>
        <v>-0</v>
      </c>
      <c r="N154" s="26" t="n">
        <f aca="false">F154+G154-K154+L154+M154</f>
        <v>10418540.2272</v>
      </c>
      <c r="O154" s="7" t="str">
        <f aca="false">B154&amp;"|"&amp;D154</f>
        <v>11|LP-01</v>
      </c>
    </row>
    <row r="155" customFormat="false" ht="15" hidden="false" customHeight="true" outlineLevel="0" collapsed="false">
      <c r="B155" s="7" t="n">
        <v>11</v>
      </c>
      <c r="C155" s="9" t="str">
        <f aca="false">Quarters!$E$14</f>
        <v>Q3 2024</v>
      </c>
      <c r="D155" s="7" t="s">
        <v>100</v>
      </c>
      <c r="E155" s="7" t="s">
        <v>101</v>
      </c>
      <c r="F155" s="22" t="n">
        <f aca="false">N140</f>
        <v>7374259.1244</v>
      </c>
      <c r="G155" s="25" t="n">
        <f aca="false">'LP Capital Calls'!$H$155</f>
        <v>30000</v>
      </c>
      <c r="H155" s="25" t="n">
        <f aca="false">'Distribution Waterfall'!$L$14*'LP Register'!$F$5</f>
        <v>0</v>
      </c>
      <c r="I155" s="25" t="n">
        <f aca="false">'Distribution Waterfall'!$N$14*'LP Register'!$F$5</f>
        <v>0</v>
      </c>
      <c r="J155" s="25" t="n">
        <f aca="false">'Distribution Waterfall'!$T$14*'LP Register'!$F$5</f>
        <v>0</v>
      </c>
      <c r="K155" s="26" t="n">
        <f aca="false">H155+I155+J155</f>
        <v>0</v>
      </c>
      <c r="L155" s="25" t="n">
        <f aca="false">('NAV Rollforward'!$G$14+'NAV Rollforward'!$H$14-'Mgmt Fee Schedule'!$G$14)*'LP Register'!$F$5</f>
        <v>409646.046000001</v>
      </c>
      <c r="M155" s="25" t="n">
        <f aca="false">-('Distribution Waterfall'!$Q$14+'Distribution Waterfall'!$U$14)*'LP Register'!$F$5</f>
        <v>-0</v>
      </c>
      <c r="N155" s="26" t="n">
        <f aca="false">F155+G155-K155+L155+M155</f>
        <v>7813905.1704</v>
      </c>
      <c r="O155" s="7" t="str">
        <f aca="false">B155&amp;"|"&amp;D155</f>
        <v>11|LP-02</v>
      </c>
    </row>
    <row r="156" customFormat="false" ht="15" hidden="false" customHeight="true" outlineLevel="0" collapsed="false">
      <c r="B156" s="7" t="n">
        <v>11</v>
      </c>
      <c r="C156" s="9" t="str">
        <f aca="false">Quarters!$E$14</f>
        <v>Q3 2024</v>
      </c>
      <c r="D156" s="7" t="s">
        <v>103</v>
      </c>
      <c r="E156" s="7" t="s">
        <v>104</v>
      </c>
      <c r="F156" s="22" t="n">
        <f aca="false">N141</f>
        <v>6759737.5307</v>
      </c>
      <c r="G156" s="25" t="n">
        <f aca="false">'LP Capital Calls'!$H$156</f>
        <v>27500</v>
      </c>
      <c r="H156" s="25" t="n">
        <f aca="false">'Distribution Waterfall'!$L$14*'LP Register'!$F$6</f>
        <v>0</v>
      </c>
      <c r="I156" s="25" t="n">
        <f aca="false">'Distribution Waterfall'!$N$14*'LP Register'!$F$6</f>
        <v>0</v>
      </c>
      <c r="J156" s="25" t="n">
        <f aca="false">'Distribution Waterfall'!$T$14*'LP Register'!$F$6</f>
        <v>0</v>
      </c>
      <c r="K156" s="26" t="n">
        <f aca="false">H156+I156+J156</f>
        <v>0</v>
      </c>
      <c r="L156" s="25" t="n">
        <f aca="false">('NAV Rollforward'!$G$14+'NAV Rollforward'!$H$14-'Mgmt Fee Schedule'!$G$14)*'LP Register'!$F$6</f>
        <v>375508.875500001</v>
      </c>
      <c r="M156" s="25" t="n">
        <f aca="false">-('Distribution Waterfall'!$Q$14+'Distribution Waterfall'!$U$14)*'LP Register'!$F$6</f>
        <v>-0</v>
      </c>
      <c r="N156" s="26" t="n">
        <f aca="false">F156+G156-K156+L156+M156</f>
        <v>7162746.4062</v>
      </c>
      <c r="O156" s="7" t="str">
        <f aca="false">B156&amp;"|"&amp;D156</f>
        <v>11|LP-03</v>
      </c>
    </row>
    <row r="157" customFormat="false" ht="15" hidden="false" customHeight="true" outlineLevel="0" collapsed="false">
      <c r="B157" s="7" t="n">
        <v>11</v>
      </c>
      <c r="C157" s="9" t="str">
        <f aca="false">Quarters!$E$14</f>
        <v>Q3 2024</v>
      </c>
      <c r="D157" s="7" t="s">
        <v>106</v>
      </c>
      <c r="E157" s="7" t="s">
        <v>107</v>
      </c>
      <c r="F157" s="22" t="n">
        <f aca="false">N142</f>
        <v>6145215.937</v>
      </c>
      <c r="G157" s="25" t="n">
        <f aca="false">'LP Capital Calls'!$H$157</f>
        <v>25000</v>
      </c>
      <c r="H157" s="25" t="n">
        <f aca="false">'Distribution Waterfall'!$L$14*'LP Register'!$F$7</f>
        <v>0</v>
      </c>
      <c r="I157" s="25" t="n">
        <f aca="false">'Distribution Waterfall'!$N$14*'LP Register'!$F$7</f>
        <v>0</v>
      </c>
      <c r="J157" s="25" t="n">
        <f aca="false">'Distribution Waterfall'!$T$14*'LP Register'!$F$7</f>
        <v>0</v>
      </c>
      <c r="K157" s="26" t="n">
        <f aca="false">H157+I157+J157</f>
        <v>0</v>
      </c>
      <c r="L157" s="25" t="n">
        <f aca="false">('NAV Rollforward'!$G$14+'NAV Rollforward'!$H$14-'Mgmt Fee Schedule'!$G$14)*'LP Register'!$F$7</f>
        <v>341371.705000001</v>
      </c>
      <c r="M157" s="25" t="n">
        <f aca="false">-('Distribution Waterfall'!$Q$14+'Distribution Waterfall'!$U$14)*'LP Register'!$F$7</f>
        <v>-0</v>
      </c>
      <c r="N157" s="26" t="n">
        <f aca="false">F157+G157-K157+L157+M157</f>
        <v>6511587.642</v>
      </c>
      <c r="O157" s="7" t="str">
        <f aca="false">B157&amp;"|"&amp;D157</f>
        <v>11|LP-04</v>
      </c>
    </row>
    <row r="158" customFormat="false" ht="15" hidden="false" customHeight="true" outlineLevel="0" collapsed="false">
      <c r="B158" s="7" t="n">
        <v>11</v>
      </c>
      <c r="C158" s="9" t="str">
        <f aca="false">Quarters!$E$14</f>
        <v>Q3 2024</v>
      </c>
      <c r="D158" s="7" t="s">
        <v>109</v>
      </c>
      <c r="E158" s="7" t="s">
        <v>110</v>
      </c>
      <c r="F158" s="22" t="n">
        <f aca="false">N143</f>
        <v>4916172.7496</v>
      </c>
      <c r="G158" s="25" t="n">
        <f aca="false">'LP Capital Calls'!$H$158</f>
        <v>20000</v>
      </c>
      <c r="H158" s="25" t="n">
        <f aca="false">'Distribution Waterfall'!$L$14*'LP Register'!$F$8</f>
        <v>0</v>
      </c>
      <c r="I158" s="25" t="n">
        <f aca="false">'Distribution Waterfall'!$N$14*'LP Register'!$F$8</f>
        <v>0</v>
      </c>
      <c r="J158" s="25" t="n">
        <f aca="false">'Distribution Waterfall'!$T$14*'LP Register'!$F$8</f>
        <v>0</v>
      </c>
      <c r="K158" s="26" t="n">
        <f aca="false">H158+I158+J158</f>
        <v>0</v>
      </c>
      <c r="L158" s="25" t="n">
        <f aca="false">('NAV Rollforward'!$G$14+'NAV Rollforward'!$H$14-'Mgmt Fee Schedule'!$G$14)*'LP Register'!$F$8</f>
        <v>273097.364</v>
      </c>
      <c r="M158" s="25" t="n">
        <f aca="false">-('Distribution Waterfall'!$Q$14+'Distribution Waterfall'!$U$14)*'LP Register'!$F$8</f>
        <v>-0</v>
      </c>
      <c r="N158" s="26" t="n">
        <f aca="false">F158+G158-K158+L158+M158</f>
        <v>5209270.1136</v>
      </c>
      <c r="O158" s="7" t="str">
        <f aca="false">B158&amp;"|"&amp;D158</f>
        <v>11|LP-05</v>
      </c>
    </row>
    <row r="159" customFormat="false" ht="15" hidden="false" customHeight="true" outlineLevel="0" collapsed="false">
      <c r="B159" s="7" t="n">
        <v>11</v>
      </c>
      <c r="C159" s="9" t="str">
        <f aca="false">Quarters!$E$14</f>
        <v>Q3 2024</v>
      </c>
      <c r="D159" s="7" t="s">
        <v>112</v>
      </c>
      <c r="E159" s="7" t="s">
        <v>113</v>
      </c>
      <c r="F159" s="22" t="n">
        <f aca="false">N144</f>
        <v>4916172.7496</v>
      </c>
      <c r="G159" s="25" t="n">
        <f aca="false">'LP Capital Calls'!$H$159</f>
        <v>20000</v>
      </c>
      <c r="H159" s="25" t="n">
        <f aca="false">'Distribution Waterfall'!$L$14*'LP Register'!$F$9</f>
        <v>0</v>
      </c>
      <c r="I159" s="25" t="n">
        <f aca="false">'Distribution Waterfall'!$N$14*'LP Register'!$F$9</f>
        <v>0</v>
      </c>
      <c r="J159" s="25" t="n">
        <f aca="false">'Distribution Waterfall'!$T$14*'LP Register'!$F$9</f>
        <v>0</v>
      </c>
      <c r="K159" s="26" t="n">
        <f aca="false">H159+I159+J159</f>
        <v>0</v>
      </c>
      <c r="L159" s="25" t="n">
        <f aca="false">('NAV Rollforward'!$G$14+'NAV Rollforward'!$H$14-'Mgmt Fee Schedule'!$G$14)*'LP Register'!$F$9</f>
        <v>273097.364</v>
      </c>
      <c r="M159" s="25" t="n">
        <f aca="false">-('Distribution Waterfall'!$Q$14+'Distribution Waterfall'!$U$14)*'LP Register'!$F$9</f>
        <v>-0</v>
      </c>
      <c r="N159" s="26" t="n">
        <f aca="false">F159+G159-K159+L159+M159</f>
        <v>5209270.1136</v>
      </c>
      <c r="O159" s="7" t="str">
        <f aca="false">B159&amp;"|"&amp;D159</f>
        <v>11|LP-06</v>
      </c>
    </row>
    <row r="160" customFormat="false" ht="15" hidden="false" customHeight="true" outlineLevel="0" collapsed="false">
      <c r="B160" s="7" t="n">
        <v>11</v>
      </c>
      <c r="C160" s="9" t="str">
        <f aca="false">Quarters!$E$14</f>
        <v>Q3 2024</v>
      </c>
      <c r="D160" s="7" t="s">
        <v>115</v>
      </c>
      <c r="E160" s="7" t="s">
        <v>116</v>
      </c>
      <c r="F160" s="22" t="n">
        <f aca="false">N145</f>
        <v>3687129.5622</v>
      </c>
      <c r="G160" s="25" t="n">
        <f aca="false">'LP Capital Calls'!$H$160</f>
        <v>15000</v>
      </c>
      <c r="H160" s="25" t="n">
        <f aca="false">'Distribution Waterfall'!$L$14*'LP Register'!$F$10</f>
        <v>0</v>
      </c>
      <c r="I160" s="25" t="n">
        <f aca="false">'Distribution Waterfall'!$N$14*'LP Register'!$F$10</f>
        <v>0</v>
      </c>
      <c r="J160" s="25" t="n">
        <f aca="false">'Distribution Waterfall'!$T$14*'LP Register'!$F$10</f>
        <v>0</v>
      </c>
      <c r="K160" s="26" t="n">
        <f aca="false">H160+I160+J160</f>
        <v>0</v>
      </c>
      <c r="L160" s="25" t="n">
        <f aca="false">('NAV Rollforward'!$G$14+'NAV Rollforward'!$H$14-'Mgmt Fee Schedule'!$G$14)*'LP Register'!$F$10</f>
        <v>204823.023</v>
      </c>
      <c r="M160" s="25" t="n">
        <f aca="false">-('Distribution Waterfall'!$Q$14+'Distribution Waterfall'!$U$14)*'LP Register'!$F$10</f>
        <v>-0</v>
      </c>
      <c r="N160" s="26" t="n">
        <f aca="false">F160+G160-K160+L160+M160</f>
        <v>3906952.5852</v>
      </c>
      <c r="O160" s="7" t="str">
        <f aca="false">B160&amp;"|"&amp;D160</f>
        <v>11|LP-07</v>
      </c>
    </row>
    <row r="161" customFormat="false" ht="15" hidden="false" customHeight="true" outlineLevel="0" collapsed="false">
      <c r="B161" s="7" t="n">
        <v>11</v>
      </c>
      <c r="C161" s="9" t="str">
        <f aca="false">Quarters!$E$14</f>
        <v>Q3 2024</v>
      </c>
      <c r="D161" s="7" t="s">
        <v>117</v>
      </c>
      <c r="E161" s="7" t="s">
        <v>118</v>
      </c>
      <c r="F161" s="22" t="n">
        <f aca="false">N146</f>
        <v>3072607.9685</v>
      </c>
      <c r="G161" s="25" t="n">
        <f aca="false">'LP Capital Calls'!$H$161</f>
        <v>12500</v>
      </c>
      <c r="H161" s="25" t="n">
        <f aca="false">'Distribution Waterfall'!$L$14*'LP Register'!$F$11</f>
        <v>0</v>
      </c>
      <c r="I161" s="25" t="n">
        <f aca="false">'Distribution Waterfall'!$N$14*'LP Register'!$F$11</f>
        <v>0</v>
      </c>
      <c r="J161" s="25" t="n">
        <f aca="false">'Distribution Waterfall'!$T$14*'LP Register'!$F$11</f>
        <v>0</v>
      </c>
      <c r="K161" s="26" t="n">
        <f aca="false">H161+I161+J161</f>
        <v>0</v>
      </c>
      <c r="L161" s="25" t="n">
        <f aca="false">('NAV Rollforward'!$G$14+'NAV Rollforward'!$H$14-'Mgmt Fee Schedule'!$G$14)*'LP Register'!$F$11</f>
        <v>170685.8525</v>
      </c>
      <c r="M161" s="25" t="n">
        <f aca="false">-('Distribution Waterfall'!$Q$14+'Distribution Waterfall'!$U$14)*'LP Register'!$F$11</f>
        <v>-0</v>
      </c>
      <c r="N161" s="26" t="n">
        <f aca="false">F161+G161-K161+L161+M161</f>
        <v>3255793.821</v>
      </c>
      <c r="O161" s="7" t="str">
        <f aca="false">B161&amp;"|"&amp;D161</f>
        <v>11|LP-08</v>
      </c>
    </row>
    <row r="162" customFormat="false" ht="15" hidden="false" customHeight="true" outlineLevel="0" collapsed="false">
      <c r="B162" s="7" t="n">
        <v>11</v>
      </c>
      <c r="C162" s="9" t="str">
        <f aca="false">Quarters!$E$14</f>
        <v>Q3 2024</v>
      </c>
      <c r="D162" s="7" t="s">
        <v>119</v>
      </c>
      <c r="E162" s="7" t="s">
        <v>120</v>
      </c>
      <c r="F162" s="22" t="n">
        <f aca="false">N147</f>
        <v>2458086.3748</v>
      </c>
      <c r="G162" s="25" t="n">
        <f aca="false">'LP Capital Calls'!$H$162</f>
        <v>10000</v>
      </c>
      <c r="H162" s="25" t="n">
        <f aca="false">'Distribution Waterfall'!$L$14*'LP Register'!$F$12</f>
        <v>0</v>
      </c>
      <c r="I162" s="25" t="n">
        <f aca="false">'Distribution Waterfall'!$N$14*'LP Register'!$F$12</f>
        <v>0</v>
      </c>
      <c r="J162" s="25" t="n">
        <f aca="false">'Distribution Waterfall'!$T$14*'LP Register'!$F$12</f>
        <v>0</v>
      </c>
      <c r="K162" s="26" t="n">
        <f aca="false">H162+I162+J162</f>
        <v>0</v>
      </c>
      <c r="L162" s="25" t="n">
        <f aca="false">('NAV Rollforward'!$G$14+'NAV Rollforward'!$H$14-'Mgmt Fee Schedule'!$G$14)*'LP Register'!$F$12</f>
        <v>136548.682</v>
      </c>
      <c r="M162" s="25" t="n">
        <f aca="false">-('Distribution Waterfall'!$Q$14+'Distribution Waterfall'!$U$14)*'LP Register'!$F$12</f>
        <v>-0</v>
      </c>
      <c r="N162" s="26" t="n">
        <f aca="false">F162+G162-K162+L162+M162</f>
        <v>2604635.0568</v>
      </c>
      <c r="O162" s="7" t="str">
        <f aca="false">B162&amp;"|"&amp;D162</f>
        <v>11|LP-09</v>
      </c>
    </row>
    <row r="163" customFormat="false" ht="15" hidden="false" customHeight="true" outlineLevel="0" collapsed="false">
      <c r="B163" s="7" t="n">
        <v>11</v>
      </c>
      <c r="C163" s="9" t="str">
        <f aca="false">Quarters!$E$14</f>
        <v>Q3 2024</v>
      </c>
      <c r="D163" s="7" t="s">
        <v>121</v>
      </c>
      <c r="E163" s="7" t="s">
        <v>122</v>
      </c>
      <c r="F163" s="22" t="n">
        <f aca="false">N148</f>
        <v>2458086.3748</v>
      </c>
      <c r="G163" s="25" t="n">
        <f aca="false">'LP Capital Calls'!$H$163</f>
        <v>10000</v>
      </c>
      <c r="H163" s="25" t="n">
        <f aca="false">'Distribution Waterfall'!$L$14*'LP Register'!$F$13</f>
        <v>0</v>
      </c>
      <c r="I163" s="25" t="n">
        <f aca="false">'Distribution Waterfall'!$N$14*'LP Register'!$F$13</f>
        <v>0</v>
      </c>
      <c r="J163" s="25" t="n">
        <f aca="false">'Distribution Waterfall'!$T$14*'LP Register'!$F$13</f>
        <v>0</v>
      </c>
      <c r="K163" s="26" t="n">
        <f aca="false">H163+I163+J163</f>
        <v>0</v>
      </c>
      <c r="L163" s="25" t="n">
        <f aca="false">('NAV Rollforward'!$G$14+'NAV Rollforward'!$H$14-'Mgmt Fee Schedule'!$G$14)*'LP Register'!$F$13</f>
        <v>136548.682</v>
      </c>
      <c r="M163" s="25" t="n">
        <f aca="false">-('Distribution Waterfall'!$Q$14+'Distribution Waterfall'!$U$14)*'LP Register'!$F$13</f>
        <v>-0</v>
      </c>
      <c r="N163" s="26" t="n">
        <f aca="false">F163+G163-K163+L163+M163</f>
        <v>2604635.0568</v>
      </c>
      <c r="O163" s="7" t="str">
        <f aca="false">B163&amp;"|"&amp;D163</f>
        <v>11|LP-10</v>
      </c>
    </row>
    <row r="164" customFormat="false" ht="15" hidden="false" customHeight="true" outlineLevel="0" collapsed="false">
      <c r="B164" s="7" t="n">
        <v>11</v>
      </c>
      <c r="C164" s="9" t="str">
        <f aca="false">Quarters!$E$14</f>
        <v>Q3 2024</v>
      </c>
      <c r="D164" s="7" t="s">
        <v>124</v>
      </c>
      <c r="E164" s="7" t="s">
        <v>125</v>
      </c>
      <c r="F164" s="22" t="n">
        <f aca="false">N149</f>
        <v>2212277.73732</v>
      </c>
      <c r="G164" s="25" t="n">
        <f aca="false">'LP Capital Calls'!$H$164</f>
        <v>9000</v>
      </c>
      <c r="H164" s="25" t="n">
        <f aca="false">'Distribution Waterfall'!$L$14*'LP Register'!$F$14</f>
        <v>0</v>
      </c>
      <c r="I164" s="25" t="n">
        <f aca="false">'Distribution Waterfall'!$N$14*'LP Register'!$F$14</f>
        <v>0</v>
      </c>
      <c r="J164" s="25" t="n">
        <f aca="false">'Distribution Waterfall'!$T$14*'LP Register'!$F$14</f>
        <v>0</v>
      </c>
      <c r="K164" s="26" t="n">
        <f aca="false">H164+I164+J164</f>
        <v>0</v>
      </c>
      <c r="L164" s="25" t="n">
        <f aca="false">('NAV Rollforward'!$G$14+'NAV Rollforward'!$H$14-'Mgmt Fee Schedule'!$G$14)*'LP Register'!$F$14</f>
        <v>122893.8138</v>
      </c>
      <c r="M164" s="25" t="n">
        <f aca="false">-('Distribution Waterfall'!$Q$14+'Distribution Waterfall'!$U$14)*'LP Register'!$F$14</f>
        <v>-0</v>
      </c>
      <c r="N164" s="26" t="n">
        <f aca="false">F164+G164-K164+L164+M164</f>
        <v>2344171.55112</v>
      </c>
      <c r="O164" s="7" t="str">
        <f aca="false">B164&amp;"|"&amp;D164</f>
        <v>11|LP-11</v>
      </c>
    </row>
    <row r="165" customFormat="false" ht="15" hidden="false" customHeight="true" outlineLevel="0" collapsed="false">
      <c r="B165" s="7" t="n">
        <v>11</v>
      </c>
      <c r="C165" s="9" t="str">
        <f aca="false">Quarters!$E$14</f>
        <v>Q3 2024</v>
      </c>
      <c r="D165" s="7" t="s">
        <v>126</v>
      </c>
      <c r="E165" s="7" t="s">
        <v>127</v>
      </c>
      <c r="F165" s="22" t="n">
        <f aca="false">N150</f>
        <v>1843564.7811</v>
      </c>
      <c r="G165" s="25" t="n">
        <f aca="false">'LP Capital Calls'!$H$165</f>
        <v>7500</v>
      </c>
      <c r="H165" s="25" t="n">
        <f aca="false">'Distribution Waterfall'!$L$14*'LP Register'!$F$15</f>
        <v>0</v>
      </c>
      <c r="I165" s="25" t="n">
        <f aca="false">'Distribution Waterfall'!$N$14*'LP Register'!$F$15</f>
        <v>0</v>
      </c>
      <c r="J165" s="25" t="n">
        <f aca="false">'Distribution Waterfall'!$T$14*'LP Register'!$F$15</f>
        <v>0</v>
      </c>
      <c r="K165" s="26" t="n">
        <f aca="false">H165+I165+J165</f>
        <v>0</v>
      </c>
      <c r="L165" s="25" t="n">
        <f aca="false">('NAV Rollforward'!$G$14+'NAV Rollforward'!$H$14-'Mgmt Fee Schedule'!$G$14)*'LP Register'!$F$15</f>
        <v>102411.5115</v>
      </c>
      <c r="M165" s="25" t="n">
        <f aca="false">-('Distribution Waterfall'!$Q$14+'Distribution Waterfall'!$U$14)*'LP Register'!$F$15</f>
        <v>-0</v>
      </c>
      <c r="N165" s="26" t="n">
        <f aca="false">F165+G165-K165+L165+M165</f>
        <v>1953476.2926</v>
      </c>
      <c r="O165" s="7" t="str">
        <f aca="false">B165&amp;"|"&amp;D165</f>
        <v>11|LP-12</v>
      </c>
    </row>
    <row r="166" customFormat="false" ht="15" hidden="false" customHeight="true" outlineLevel="0" collapsed="false">
      <c r="B166" s="7" t="n">
        <v>11</v>
      </c>
      <c r="C166" s="9" t="str">
        <f aca="false">Quarters!$E$14</f>
        <v>Q3 2024</v>
      </c>
      <c r="D166" s="7" t="s">
        <v>128</v>
      </c>
      <c r="E166" s="7" t="s">
        <v>129</v>
      </c>
      <c r="F166" s="22" t="n">
        <f aca="false">N151</f>
        <v>1843564.7811</v>
      </c>
      <c r="G166" s="25" t="n">
        <f aca="false">'LP Capital Calls'!$H$166</f>
        <v>7500</v>
      </c>
      <c r="H166" s="25" t="n">
        <f aca="false">'Distribution Waterfall'!$L$14*'LP Register'!$F$16</f>
        <v>0</v>
      </c>
      <c r="I166" s="25" t="n">
        <f aca="false">'Distribution Waterfall'!$N$14*'LP Register'!$F$16</f>
        <v>0</v>
      </c>
      <c r="J166" s="25" t="n">
        <f aca="false">'Distribution Waterfall'!$T$14*'LP Register'!$F$16</f>
        <v>0</v>
      </c>
      <c r="K166" s="26" t="n">
        <f aca="false">H166+I166+J166</f>
        <v>0</v>
      </c>
      <c r="L166" s="25" t="n">
        <f aca="false">('NAV Rollforward'!$G$14+'NAV Rollforward'!$H$14-'Mgmt Fee Schedule'!$G$14)*'LP Register'!$F$16</f>
        <v>102411.5115</v>
      </c>
      <c r="M166" s="25" t="n">
        <f aca="false">-('Distribution Waterfall'!$Q$14+'Distribution Waterfall'!$U$14)*'LP Register'!$F$16</f>
        <v>-0</v>
      </c>
      <c r="N166" s="26" t="n">
        <f aca="false">F166+G166-K166+L166+M166</f>
        <v>1953476.2926</v>
      </c>
      <c r="O166" s="7" t="str">
        <f aca="false">B166&amp;"|"&amp;D166</f>
        <v>11|LP-13</v>
      </c>
    </row>
    <row r="167" customFormat="false" ht="15" hidden="false" customHeight="true" outlineLevel="0" collapsed="false">
      <c r="B167" s="7" t="n">
        <v>11</v>
      </c>
      <c r="C167" s="9" t="str">
        <f aca="false">Quarters!$E$14</f>
        <v>Q3 2024</v>
      </c>
      <c r="D167" s="7" t="s">
        <v>130</v>
      </c>
      <c r="E167" s="7" t="s">
        <v>131</v>
      </c>
      <c r="F167" s="22" t="n">
        <f aca="false">N152</f>
        <v>1966469.09984</v>
      </c>
      <c r="G167" s="25" t="n">
        <f aca="false">'LP Capital Calls'!$H$167</f>
        <v>8000</v>
      </c>
      <c r="H167" s="25" t="n">
        <f aca="false">'Distribution Waterfall'!$L$14*'LP Register'!$F$17</f>
        <v>0</v>
      </c>
      <c r="I167" s="25" t="n">
        <f aca="false">'Distribution Waterfall'!$N$14*'LP Register'!$F$17</f>
        <v>0</v>
      </c>
      <c r="J167" s="25" t="n">
        <f aca="false">'Distribution Waterfall'!$T$14*'LP Register'!$F$17</f>
        <v>0</v>
      </c>
      <c r="K167" s="26" t="n">
        <f aca="false">H167+I167+J167</f>
        <v>0</v>
      </c>
      <c r="L167" s="25" t="n">
        <f aca="false">('NAV Rollforward'!$G$14+'NAV Rollforward'!$H$14-'Mgmt Fee Schedule'!$G$14)*'LP Register'!$F$17</f>
        <v>109238.9456</v>
      </c>
      <c r="M167" s="25" t="n">
        <f aca="false">-('Distribution Waterfall'!$Q$14+'Distribution Waterfall'!$U$14)*'LP Register'!$F$17</f>
        <v>-0</v>
      </c>
      <c r="N167" s="26" t="n">
        <f aca="false">F167+G167-K167+L167+M167</f>
        <v>2083708.04544</v>
      </c>
      <c r="O167" s="7" t="str">
        <f aca="false">B167&amp;"|"&amp;D167</f>
        <v>11|LP-14</v>
      </c>
    </row>
    <row r="168" customFormat="false" ht="15" hidden="false" customHeight="true" outlineLevel="0" collapsed="false">
      <c r="B168" s="7" t="n">
        <v>11</v>
      </c>
      <c r="C168" s="9" t="str">
        <f aca="false">Quarters!$E$14</f>
        <v>Q3 2024</v>
      </c>
      <c r="D168" s="7" t="s">
        <v>132</v>
      </c>
      <c r="E168" s="7" t="s">
        <v>133</v>
      </c>
      <c r="F168" s="22" t="n">
        <f aca="false">N153</f>
        <v>1966469.09984</v>
      </c>
      <c r="G168" s="25" t="n">
        <f aca="false">'LP Capital Calls'!$H$168</f>
        <v>8000</v>
      </c>
      <c r="H168" s="25" t="n">
        <f aca="false">'Distribution Waterfall'!$L$14*'LP Register'!$F$18</f>
        <v>0</v>
      </c>
      <c r="I168" s="25" t="n">
        <f aca="false">'Distribution Waterfall'!$N$14*'LP Register'!$F$18</f>
        <v>0</v>
      </c>
      <c r="J168" s="25" t="n">
        <f aca="false">'Distribution Waterfall'!$T$14*'LP Register'!$F$18</f>
        <v>0</v>
      </c>
      <c r="K168" s="26" t="n">
        <f aca="false">H168+I168+J168</f>
        <v>0</v>
      </c>
      <c r="L168" s="25" t="n">
        <f aca="false">('NAV Rollforward'!$G$14+'NAV Rollforward'!$H$14-'Mgmt Fee Schedule'!$G$14)*'LP Register'!$F$18</f>
        <v>109238.9456</v>
      </c>
      <c r="M168" s="25" t="n">
        <f aca="false">-('Distribution Waterfall'!$Q$14+'Distribution Waterfall'!$U$14)*'LP Register'!$F$18</f>
        <v>-0</v>
      </c>
      <c r="N168" s="26" t="n">
        <f aca="false">F168+G168-K168+L168+M168</f>
        <v>2083708.04544</v>
      </c>
      <c r="O168" s="7" t="str">
        <f aca="false">B168&amp;"|"&amp;D168</f>
        <v>11|LP-15</v>
      </c>
    </row>
    <row r="169" customFormat="false" ht="15" hidden="false" customHeight="true" outlineLevel="0" collapsed="false">
      <c r="B169" s="7" t="n">
        <v>12</v>
      </c>
      <c r="C169" s="9" t="str">
        <f aca="false">Quarters!$E$15</f>
        <v>Q4 2024</v>
      </c>
      <c r="D169" s="7" t="s">
        <v>97</v>
      </c>
      <c r="E169" s="7" t="s">
        <v>98</v>
      </c>
      <c r="F169" s="22" t="n">
        <f aca="false">N154</f>
        <v>10418540.2272</v>
      </c>
      <c r="G169" s="25" t="n">
        <f aca="false">'LP Capital Calls'!$H$169</f>
        <v>40000</v>
      </c>
      <c r="H169" s="25" t="n">
        <f aca="false">'Distribution Waterfall'!$L$15*'LP Register'!$F$4</f>
        <v>0</v>
      </c>
      <c r="I169" s="25" t="n">
        <f aca="false">'Distribution Waterfall'!$N$15*'LP Register'!$F$4</f>
        <v>0</v>
      </c>
      <c r="J169" s="25" t="n">
        <f aca="false">'Distribution Waterfall'!$T$15*'LP Register'!$F$4</f>
        <v>0</v>
      </c>
      <c r="K169" s="26" t="n">
        <f aca="false">H169+I169+J169</f>
        <v>0</v>
      </c>
      <c r="L169" s="25" t="n">
        <f aca="false">('NAV Rollforward'!$G$15+'NAV Rollforward'!$H$15-'Mgmt Fee Schedule'!$G$15)*'LP Register'!$F$4</f>
        <v>658205.2496</v>
      </c>
      <c r="M169" s="25" t="n">
        <f aca="false">-('Distribution Waterfall'!$Q$15+'Distribution Waterfall'!$U$15)*'LP Register'!$F$4</f>
        <v>-0</v>
      </c>
      <c r="N169" s="26" t="n">
        <f aca="false">F169+G169-K169+L169+M169</f>
        <v>11116745.4768</v>
      </c>
      <c r="O169" s="7" t="str">
        <f aca="false">B169&amp;"|"&amp;D169</f>
        <v>12|LP-01</v>
      </c>
    </row>
    <row r="170" customFormat="false" ht="15" hidden="false" customHeight="true" outlineLevel="0" collapsed="false">
      <c r="B170" s="7" t="n">
        <v>12</v>
      </c>
      <c r="C170" s="9" t="str">
        <f aca="false">Quarters!$E$15</f>
        <v>Q4 2024</v>
      </c>
      <c r="D170" s="7" t="s">
        <v>100</v>
      </c>
      <c r="E170" s="7" t="s">
        <v>101</v>
      </c>
      <c r="F170" s="22" t="n">
        <f aca="false">N155</f>
        <v>7813905.1704</v>
      </c>
      <c r="G170" s="25" t="n">
        <f aca="false">'LP Capital Calls'!$H$170</f>
        <v>30000</v>
      </c>
      <c r="H170" s="25" t="n">
        <f aca="false">'Distribution Waterfall'!$L$15*'LP Register'!$F$5</f>
        <v>0</v>
      </c>
      <c r="I170" s="25" t="n">
        <f aca="false">'Distribution Waterfall'!$N$15*'LP Register'!$F$5</f>
        <v>0</v>
      </c>
      <c r="J170" s="25" t="n">
        <f aca="false">'Distribution Waterfall'!$T$15*'LP Register'!$F$5</f>
        <v>0</v>
      </c>
      <c r="K170" s="26" t="n">
        <f aca="false">H170+I170+J170</f>
        <v>0</v>
      </c>
      <c r="L170" s="25" t="n">
        <f aca="false">('NAV Rollforward'!$G$15+'NAV Rollforward'!$H$15-'Mgmt Fee Schedule'!$G$15)*'LP Register'!$F$5</f>
        <v>493653.9372</v>
      </c>
      <c r="M170" s="25" t="n">
        <f aca="false">-('Distribution Waterfall'!$Q$15+'Distribution Waterfall'!$U$15)*'LP Register'!$F$5</f>
        <v>-0</v>
      </c>
      <c r="N170" s="26" t="n">
        <f aca="false">F170+G170-K170+L170+M170</f>
        <v>8337559.1076</v>
      </c>
      <c r="O170" s="7" t="str">
        <f aca="false">B170&amp;"|"&amp;D170</f>
        <v>12|LP-02</v>
      </c>
    </row>
    <row r="171" customFormat="false" ht="15" hidden="false" customHeight="true" outlineLevel="0" collapsed="false">
      <c r="B171" s="7" t="n">
        <v>12</v>
      </c>
      <c r="C171" s="9" t="str">
        <f aca="false">Quarters!$E$15</f>
        <v>Q4 2024</v>
      </c>
      <c r="D171" s="7" t="s">
        <v>103</v>
      </c>
      <c r="E171" s="7" t="s">
        <v>104</v>
      </c>
      <c r="F171" s="22" t="n">
        <f aca="false">N156</f>
        <v>7162746.4062</v>
      </c>
      <c r="G171" s="25" t="n">
        <f aca="false">'LP Capital Calls'!$H$171</f>
        <v>27500</v>
      </c>
      <c r="H171" s="25" t="n">
        <f aca="false">'Distribution Waterfall'!$L$15*'LP Register'!$F$6</f>
        <v>0</v>
      </c>
      <c r="I171" s="25" t="n">
        <f aca="false">'Distribution Waterfall'!$N$15*'LP Register'!$F$6</f>
        <v>0</v>
      </c>
      <c r="J171" s="25" t="n">
        <f aca="false">'Distribution Waterfall'!$T$15*'LP Register'!$F$6</f>
        <v>0</v>
      </c>
      <c r="K171" s="26" t="n">
        <f aca="false">H171+I171+J171</f>
        <v>0</v>
      </c>
      <c r="L171" s="25" t="n">
        <f aca="false">('NAV Rollforward'!$G$15+'NAV Rollforward'!$H$15-'Mgmt Fee Schedule'!$G$15)*'LP Register'!$F$6</f>
        <v>452516.1091</v>
      </c>
      <c r="M171" s="25" t="n">
        <f aca="false">-('Distribution Waterfall'!$Q$15+'Distribution Waterfall'!$U$15)*'LP Register'!$F$6</f>
        <v>-0</v>
      </c>
      <c r="N171" s="26" t="n">
        <f aca="false">F171+G171-K171+L171+M171</f>
        <v>7642762.5153</v>
      </c>
      <c r="O171" s="7" t="str">
        <f aca="false">B171&amp;"|"&amp;D171</f>
        <v>12|LP-03</v>
      </c>
    </row>
    <row r="172" customFormat="false" ht="15" hidden="false" customHeight="true" outlineLevel="0" collapsed="false">
      <c r="B172" s="7" t="n">
        <v>12</v>
      </c>
      <c r="C172" s="9" t="str">
        <f aca="false">Quarters!$E$15</f>
        <v>Q4 2024</v>
      </c>
      <c r="D172" s="7" t="s">
        <v>106</v>
      </c>
      <c r="E172" s="7" t="s">
        <v>107</v>
      </c>
      <c r="F172" s="22" t="n">
        <f aca="false">N157</f>
        <v>6511587.642</v>
      </c>
      <c r="G172" s="25" t="n">
        <f aca="false">'LP Capital Calls'!$H$172</f>
        <v>25000</v>
      </c>
      <c r="H172" s="25" t="n">
        <f aca="false">'Distribution Waterfall'!$L$15*'LP Register'!$F$7</f>
        <v>0</v>
      </c>
      <c r="I172" s="25" t="n">
        <f aca="false">'Distribution Waterfall'!$N$15*'LP Register'!$F$7</f>
        <v>0</v>
      </c>
      <c r="J172" s="25" t="n">
        <f aca="false">'Distribution Waterfall'!$T$15*'LP Register'!$F$7</f>
        <v>0</v>
      </c>
      <c r="K172" s="26" t="n">
        <f aca="false">H172+I172+J172</f>
        <v>0</v>
      </c>
      <c r="L172" s="25" t="n">
        <f aca="false">('NAV Rollforward'!$G$15+'NAV Rollforward'!$H$15-'Mgmt Fee Schedule'!$G$15)*'LP Register'!$F$7</f>
        <v>411378.281</v>
      </c>
      <c r="M172" s="25" t="n">
        <f aca="false">-('Distribution Waterfall'!$Q$15+'Distribution Waterfall'!$U$15)*'LP Register'!$F$7</f>
        <v>-0</v>
      </c>
      <c r="N172" s="26" t="n">
        <f aca="false">F172+G172-K172+L172+M172</f>
        <v>6947965.923</v>
      </c>
      <c r="O172" s="7" t="str">
        <f aca="false">B172&amp;"|"&amp;D172</f>
        <v>12|LP-04</v>
      </c>
    </row>
    <row r="173" customFormat="false" ht="15" hidden="false" customHeight="true" outlineLevel="0" collapsed="false">
      <c r="B173" s="7" t="n">
        <v>12</v>
      </c>
      <c r="C173" s="9" t="str">
        <f aca="false">Quarters!$E$15</f>
        <v>Q4 2024</v>
      </c>
      <c r="D173" s="7" t="s">
        <v>109</v>
      </c>
      <c r="E173" s="7" t="s">
        <v>110</v>
      </c>
      <c r="F173" s="22" t="n">
        <f aca="false">N158</f>
        <v>5209270.1136</v>
      </c>
      <c r="G173" s="25" t="n">
        <f aca="false">'LP Capital Calls'!$H$173</f>
        <v>20000</v>
      </c>
      <c r="H173" s="25" t="n">
        <f aca="false">'Distribution Waterfall'!$L$15*'LP Register'!$F$8</f>
        <v>0</v>
      </c>
      <c r="I173" s="25" t="n">
        <f aca="false">'Distribution Waterfall'!$N$15*'LP Register'!$F$8</f>
        <v>0</v>
      </c>
      <c r="J173" s="25" t="n">
        <f aca="false">'Distribution Waterfall'!$T$15*'LP Register'!$F$8</f>
        <v>0</v>
      </c>
      <c r="K173" s="26" t="n">
        <f aca="false">H173+I173+J173</f>
        <v>0</v>
      </c>
      <c r="L173" s="25" t="n">
        <f aca="false">('NAV Rollforward'!$G$15+'NAV Rollforward'!$H$15-'Mgmt Fee Schedule'!$G$15)*'LP Register'!$F$8</f>
        <v>329102.6248</v>
      </c>
      <c r="M173" s="25" t="n">
        <f aca="false">-('Distribution Waterfall'!$Q$15+'Distribution Waterfall'!$U$15)*'LP Register'!$F$8</f>
        <v>-0</v>
      </c>
      <c r="N173" s="26" t="n">
        <f aca="false">F173+G173-K173+L173+M173</f>
        <v>5558372.7384</v>
      </c>
      <c r="O173" s="7" t="str">
        <f aca="false">B173&amp;"|"&amp;D173</f>
        <v>12|LP-05</v>
      </c>
    </row>
    <row r="174" customFormat="false" ht="15" hidden="false" customHeight="true" outlineLevel="0" collapsed="false">
      <c r="B174" s="7" t="n">
        <v>12</v>
      </c>
      <c r="C174" s="9" t="str">
        <f aca="false">Quarters!$E$15</f>
        <v>Q4 2024</v>
      </c>
      <c r="D174" s="7" t="s">
        <v>112</v>
      </c>
      <c r="E174" s="7" t="s">
        <v>113</v>
      </c>
      <c r="F174" s="22" t="n">
        <f aca="false">N159</f>
        <v>5209270.1136</v>
      </c>
      <c r="G174" s="25" t="n">
        <f aca="false">'LP Capital Calls'!$H$174</f>
        <v>20000</v>
      </c>
      <c r="H174" s="25" t="n">
        <f aca="false">'Distribution Waterfall'!$L$15*'LP Register'!$F$9</f>
        <v>0</v>
      </c>
      <c r="I174" s="25" t="n">
        <f aca="false">'Distribution Waterfall'!$N$15*'LP Register'!$F$9</f>
        <v>0</v>
      </c>
      <c r="J174" s="25" t="n">
        <f aca="false">'Distribution Waterfall'!$T$15*'LP Register'!$F$9</f>
        <v>0</v>
      </c>
      <c r="K174" s="26" t="n">
        <f aca="false">H174+I174+J174</f>
        <v>0</v>
      </c>
      <c r="L174" s="25" t="n">
        <f aca="false">('NAV Rollforward'!$G$15+'NAV Rollforward'!$H$15-'Mgmt Fee Schedule'!$G$15)*'LP Register'!$F$9</f>
        <v>329102.6248</v>
      </c>
      <c r="M174" s="25" t="n">
        <f aca="false">-('Distribution Waterfall'!$Q$15+'Distribution Waterfall'!$U$15)*'LP Register'!$F$9</f>
        <v>-0</v>
      </c>
      <c r="N174" s="26" t="n">
        <f aca="false">F174+G174-K174+L174+M174</f>
        <v>5558372.7384</v>
      </c>
      <c r="O174" s="7" t="str">
        <f aca="false">B174&amp;"|"&amp;D174</f>
        <v>12|LP-06</v>
      </c>
    </row>
    <row r="175" customFormat="false" ht="15" hidden="false" customHeight="true" outlineLevel="0" collapsed="false">
      <c r="B175" s="7" t="n">
        <v>12</v>
      </c>
      <c r="C175" s="9" t="str">
        <f aca="false">Quarters!$E$15</f>
        <v>Q4 2024</v>
      </c>
      <c r="D175" s="7" t="s">
        <v>115</v>
      </c>
      <c r="E175" s="7" t="s">
        <v>116</v>
      </c>
      <c r="F175" s="22" t="n">
        <f aca="false">N160</f>
        <v>3906952.5852</v>
      </c>
      <c r="G175" s="25" t="n">
        <f aca="false">'LP Capital Calls'!$H$175</f>
        <v>15000</v>
      </c>
      <c r="H175" s="25" t="n">
        <f aca="false">'Distribution Waterfall'!$L$15*'LP Register'!$F$10</f>
        <v>0</v>
      </c>
      <c r="I175" s="25" t="n">
        <f aca="false">'Distribution Waterfall'!$N$15*'LP Register'!$F$10</f>
        <v>0</v>
      </c>
      <c r="J175" s="25" t="n">
        <f aca="false">'Distribution Waterfall'!$T$15*'LP Register'!$F$10</f>
        <v>0</v>
      </c>
      <c r="K175" s="26" t="n">
        <f aca="false">H175+I175+J175</f>
        <v>0</v>
      </c>
      <c r="L175" s="25" t="n">
        <f aca="false">('NAV Rollforward'!$G$15+'NAV Rollforward'!$H$15-'Mgmt Fee Schedule'!$G$15)*'LP Register'!$F$10</f>
        <v>246826.9686</v>
      </c>
      <c r="M175" s="25" t="n">
        <f aca="false">-('Distribution Waterfall'!$Q$15+'Distribution Waterfall'!$U$15)*'LP Register'!$F$10</f>
        <v>-0</v>
      </c>
      <c r="N175" s="26" t="n">
        <f aca="false">F175+G175-K175+L175+M175</f>
        <v>4168779.5538</v>
      </c>
      <c r="O175" s="7" t="str">
        <f aca="false">B175&amp;"|"&amp;D175</f>
        <v>12|LP-07</v>
      </c>
    </row>
    <row r="176" customFormat="false" ht="15" hidden="false" customHeight="true" outlineLevel="0" collapsed="false">
      <c r="B176" s="7" t="n">
        <v>12</v>
      </c>
      <c r="C176" s="9" t="str">
        <f aca="false">Quarters!$E$15</f>
        <v>Q4 2024</v>
      </c>
      <c r="D176" s="7" t="s">
        <v>117</v>
      </c>
      <c r="E176" s="7" t="s">
        <v>118</v>
      </c>
      <c r="F176" s="22" t="n">
        <f aca="false">N161</f>
        <v>3255793.821</v>
      </c>
      <c r="G176" s="25" t="n">
        <f aca="false">'LP Capital Calls'!$H$176</f>
        <v>12500</v>
      </c>
      <c r="H176" s="25" t="n">
        <f aca="false">'Distribution Waterfall'!$L$15*'LP Register'!$F$11</f>
        <v>0</v>
      </c>
      <c r="I176" s="25" t="n">
        <f aca="false">'Distribution Waterfall'!$N$15*'LP Register'!$F$11</f>
        <v>0</v>
      </c>
      <c r="J176" s="25" t="n">
        <f aca="false">'Distribution Waterfall'!$T$15*'LP Register'!$F$11</f>
        <v>0</v>
      </c>
      <c r="K176" s="26" t="n">
        <f aca="false">H176+I176+J176</f>
        <v>0</v>
      </c>
      <c r="L176" s="25" t="n">
        <f aca="false">('NAV Rollforward'!$G$15+'NAV Rollforward'!$H$15-'Mgmt Fee Schedule'!$G$15)*'LP Register'!$F$11</f>
        <v>205689.1405</v>
      </c>
      <c r="M176" s="25" t="n">
        <f aca="false">-('Distribution Waterfall'!$Q$15+'Distribution Waterfall'!$U$15)*'LP Register'!$F$11</f>
        <v>-0</v>
      </c>
      <c r="N176" s="26" t="n">
        <f aca="false">F176+G176-K176+L176+M176</f>
        <v>3473982.9615</v>
      </c>
      <c r="O176" s="7" t="str">
        <f aca="false">B176&amp;"|"&amp;D176</f>
        <v>12|LP-08</v>
      </c>
    </row>
    <row r="177" customFormat="false" ht="15" hidden="false" customHeight="true" outlineLevel="0" collapsed="false">
      <c r="B177" s="7" t="n">
        <v>12</v>
      </c>
      <c r="C177" s="9" t="str">
        <f aca="false">Quarters!$E$15</f>
        <v>Q4 2024</v>
      </c>
      <c r="D177" s="7" t="s">
        <v>119</v>
      </c>
      <c r="E177" s="7" t="s">
        <v>120</v>
      </c>
      <c r="F177" s="22" t="n">
        <f aca="false">N162</f>
        <v>2604635.0568</v>
      </c>
      <c r="G177" s="25" t="n">
        <f aca="false">'LP Capital Calls'!$H$177</f>
        <v>10000</v>
      </c>
      <c r="H177" s="25" t="n">
        <f aca="false">'Distribution Waterfall'!$L$15*'LP Register'!$F$12</f>
        <v>0</v>
      </c>
      <c r="I177" s="25" t="n">
        <f aca="false">'Distribution Waterfall'!$N$15*'LP Register'!$F$12</f>
        <v>0</v>
      </c>
      <c r="J177" s="25" t="n">
        <f aca="false">'Distribution Waterfall'!$T$15*'LP Register'!$F$12</f>
        <v>0</v>
      </c>
      <c r="K177" s="26" t="n">
        <f aca="false">H177+I177+J177</f>
        <v>0</v>
      </c>
      <c r="L177" s="25" t="n">
        <f aca="false">('NAV Rollforward'!$G$15+'NAV Rollforward'!$H$15-'Mgmt Fee Schedule'!$G$15)*'LP Register'!$F$12</f>
        <v>164551.3124</v>
      </c>
      <c r="M177" s="25" t="n">
        <f aca="false">-('Distribution Waterfall'!$Q$15+'Distribution Waterfall'!$U$15)*'LP Register'!$F$12</f>
        <v>-0</v>
      </c>
      <c r="N177" s="26" t="n">
        <f aca="false">F177+G177-K177+L177+M177</f>
        <v>2779186.3692</v>
      </c>
      <c r="O177" s="7" t="str">
        <f aca="false">B177&amp;"|"&amp;D177</f>
        <v>12|LP-09</v>
      </c>
    </row>
    <row r="178" customFormat="false" ht="15" hidden="false" customHeight="true" outlineLevel="0" collapsed="false">
      <c r="B178" s="7" t="n">
        <v>12</v>
      </c>
      <c r="C178" s="9" t="str">
        <f aca="false">Quarters!$E$15</f>
        <v>Q4 2024</v>
      </c>
      <c r="D178" s="7" t="s">
        <v>121</v>
      </c>
      <c r="E178" s="7" t="s">
        <v>122</v>
      </c>
      <c r="F178" s="22" t="n">
        <f aca="false">N163</f>
        <v>2604635.0568</v>
      </c>
      <c r="G178" s="25" t="n">
        <f aca="false">'LP Capital Calls'!$H$178</f>
        <v>10000</v>
      </c>
      <c r="H178" s="25" t="n">
        <f aca="false">'Distribution Waterfall'!$L$15*'LP Register'!$F$13</f>
        <v>0</v>
      </c>
      <c r="I178" s="25" t="n">
        <f aca="false">'Distribution Waterfall'!$N$15*'LP Register'!$F$13</f>
        <v>0</v>
      </c>
      <c r="J178" s="25" t="n">
        <f aca="false">'Distribution Waterfall'!$T$15*'LP Register'!$F$13</f>
        <v>0</v>
      </c>
      <c r="K178" s="26" t="n">
        <f aca="false">H178+I178+J178</f>
        <v>0</v>
      </c>
      <c r="L178" s="25" t="n">
        <f aca="false">('NAV Rollforward'!$G$15+'NAV Rollforward'!$H$15-'Mgmt Fee Schedule'!$G$15)*'LP Register'!$F$13</f>
        <v>164551.3124</v>
      </c>
      <c r="M178" s="25" t="n">
        <f aca="false">-('Distribution Waterfall'!$Q$15+'Distribution Waterfall'!$U$15)*'LP Register'!$F$13</f>
        <v>-0</v>
      </c>
      <c r="N178" s="26" t="n">
        <f aca="false">F178+G178-K178+L178+M178</f>
        <v>2779186.3692</v>
      </c>
      <c r="O178" s="7" t="str">
        <f aca="false">B178&amp;"|"&amp;D178</f>
        <v>12|LP-10</v>
      </c>
    </row>
    <row r="179" customFormat="false" ht="15" hidden="false" customHeight="true" outlineLevel="0" collapsed="false">
      <c r="B179" s="7" t="n">
        <v>12</v>
      </c>
      <c r="C179" s="9" t="str">
        <f aca="false">Quarters!$E$15</f>
        <v>Q4 2024</v>
      </c>
      <c r="D179" s="7" t="s">
        <v>124</v>
      </c>
      <c r="E179" s="7" t="s">
        <v>125</v>
      </c>
      <c r="F179" s="22" t="n">
        <f aca="false">N164</f>
        <v>2344171.55112</v>
      </c>
      <c r="G179" s="25" t="n">
        <f aca="false">'LP Capital Calls'!$H$179</f>
        <v>9000</v>
      </c>
      <c r="H179" s="25" t="n">
        <f aca="false">'Distribution Waterfall'!$L$15*'LP Register'!$F$14</f>
        <v>0</v>
      </c>
      <c r="I179" s="25" t="n">
        <f aca="false">'Distribution Waterfall'!$N$15*'LP Register'!$F$14</f>
        <v>0</v>
      </c>
      <c r="J179" s="25" t="n">
        <f aca="false">'Distribution Waterfall'!$T$15*'LP Register'!$F$14</f>
        <v>0</v>
      </c>
      <c r="K179" s="26" t="n">
        <f aca="false">H179+I179+J179</f>
        <v>0</v>
      </c>
      <c r="L179" s="25" t="n">
        <f aca="false">('NAV Rollforward'!$G$15+'NAV Rollforward'!$H$15-'Mgmt Fee Schedule'!$G$15)*'LP Register'!$F$14</f>
        <v>148096.18116</v>
      </c>
      <c r="M179" s="25" t="n">
        <f aca="false">-('Distribution Waterfall'!$Q$15+'Distribution Waterfall'!$U$15)*'LP Register'!$F$14</f>
        <v>-0</v>
      </c>
      <c r="N179" s="26" t="n">
        <f aca="false">F179+G179-K179+L179+M179</f>
        <v>2501267.73228</v>
      </c>
      <c r="O179" s="7" t="str">
        <f aca="false">B179&amp;"|"&amp;D179</f>
        <v>12|LP-11</v>
      </c>
    </row>
    <row r="180" customFormat="false" ht="15" hidden="false" customHeight="true" outlineLevel="0" collapsed="false">
      <c r="B180" s="7" t="n">
        <v>12</v>
      </c>
      <c r="C180" s="9" t="str">
        <f aca="false">Quarters!$E$15</f>
        <v>Q4 2024</v>
      </c>
      <c r="D180" s="7" t="s">
        <v>126</v>
      </c>
      <c r="E180" s="7" t="s">
        <v>127</v>
      </c>
      <c r="F180" s="22" t="n">
        <f aca="false">N165</f>
        <v>1953476.2926</v>
      </c>
      <c r="G180" s="25" t="n">
        <f aca="false">'LP Capital Calls'!$H$180</f>
        <v>7500</v>
      </c>
      <c r="H180" s="25" t="n">
        <f aca="false">'Distribution Waterfall'!$L$15*'LP Register'!$F$15</f>
        <v>0</v>
      </c>
      <c r="I180" s="25" t="n">
        <f aca="false">'Distribution Waterfall'!$N$15*'LP Register'!$F$15</f>
        <v>0</v>
      </c>
      <c r="J180" s="25" t="n">
        <f aca="false">'Distribution Waterfall'!$T$15*'LP Register'!$F$15</f>
        <v>0</v>
      </c>
      <c r="K180" s="26" t="n">
        <f aca="false">H180+I180+J180</f>
        <v>0</v>
      </c>
      <c r="L180" s="25" t="n">
        <f aca="false">('NAV Rollforward'!$G$15+'NAV Rollforward'!$H$15-'Mgmt Fee Schedule'!$G$15)*'LP Register'!$F$15</f>
        <v>123413.4843</v>
      </c>
      <c r="M180" s="25" t="n">
        <f aca="false">-('Distribution Waterfall'!$Q$15+'Distribution Waterfall'!$U$15)*'LP Register'!$F$15</f>
        <v>-0</v>
      </c>
      <c r="N180" s="26" t="n">
        <f aca="false">F180+G180-K180+L180+M180</f>
        <v>2084389.7769</v>
      </c>
      <c r="O180" s="7" t="str">
        <f aca="false">B180&amp;"|"&amp;D180</f>
        <v>12|LP-12</v>
      </c>
    </row>
    <row r="181" customFormat="false" ht="15" hidden="false" customHeight="true" outlineLevel="0" collapsed="false">
      <c r="B181" s="7" t="n">
        <v>12</v>
      </c>
      <c r="C181" s="9" t="str">
        <f aca="false">Quarters!$E$15</f>
        <v>Q4 2024</v>
      </c>
      <c r="D181" s="7" t="s">
        <v>128</v>
      </c>
      <c r="E181" s="7" t="s">
        <v>129</v>
      </c>
      <c r="F181" s="22" t="n">
        <f aca="false">N166</f>
        <v>1953476.2926</v>
      </c>
      <c r="G181" s="25" t="n">
        <f aca="false">'LP Capital Calls'!$H$181</f>
        <v>7500</v>
      </c>
      <c r="H181" s="25" t="n">
        <f aca="false">'Distribution Waterfall'!$L$15*'LP Register'!$F$16</f>
        <v>0</v>
      </c>
      <c r="I181" s="25" t="n">
        <f aca="false">'Distribution Waterfall'!$N$15*'LP Register'!$F$16</f>
        <v>0</v>
      </c>
      <c r="J181" s="25" t="n">
        <f aca="false">'Distribution Waterfall'!$T$15*'LP Register'!$F$16</f>
        <v>0</v>
      </c>
      <c r="K181" s="26" t="n">
        <f aca="false">H181+I181+J181</f>
        <v>0</v>
      </c>
      <c r="L181" s="25" t="n">
        <f aca="false">('NAV Rollforward'!$G$15+'NAV Rollforward'!$H$15-'Mgmt Fee Schedule'!$G$15)*'LP Register'!$F$16</f>
        <v>123413.4843</v>
      </c>
      <c r="M181" s="25" t="n">
        <f aca="false">-('Distribution Waterfall'!$Q$15+'Distribution Waterfall'!$U$15)*'LP Register'!$F$16</f>
        <v>-0</v>
      </c>
      <c r="N181" s="26" t="n">
        <f aca="false">F181+G181-K181+L181+M181</f>
        <v>2084389.7769</v>
      </c>
      <c r="O181" s="7" t="str">
        <f aca="false">B181&amp;"|"&amp;D181</f>
        <v>12|LP-13</v>
      </c>
    </row>
    <row r="182" customFormat="false" ht="15" hidden="false" customHeight="true" outlineLevel="0" collapsed="false">
      <c r="B182" s="7" t="n">
        <v>12</v>
      </c>
      <c r="C182" s="9" t="str">
        <f aca="false">Quarters!$E$15</f>
        <v>Q4 2024</v>
      </c>
      <c r="D182" s="7" t="s">
        <v>130</v>
      </c>
      <c r="E182" s="7" t="s">
        <v>131</v>
      </c>
      <c r="F182" s="22" t="n">
        <f aca="false">N167</f>
        <v>2083708.04544</v>
      </c>
      <c r="G182" s="25" t="n">
        <f aca="false">'LP Capital Calls'!$H$182</f>
        <v>8000</v>
      </c>
      <c r="H182" s="25" t="n">
        <f aca="false">'Distribution Waterfall'!$L$15*'LP Register'!$F$17</f>
        <v>0</v>
      </c>
      <c r="I182" s="25" t="n">
        <f aca="false">'Distribution Waterfall'!$N$15*'LP Register'!$F$17</f>
        <v>0</v>
      </c>
      <c r="J182" s="25" t="n">
        <f aca="false">'Distribution Waterfall'!$T$15*'LP Register'!$F$17</f>
        <v>0</v>
      </c>
      <c r="K182" s="26" t="n">
        <f aca="false">H182+I182+J182</f>
        <v>0</v>
      </c>
      <c r="L182" s="25" t="n">
        <f aca="false">('NAV Rollforward'!$G$15+'NAV Rollforward'!$H$15-'Mgmt Fee Schedule'!$G$15)*'LP Register'!$F$17</f>
        <v>131641.04992</v>
      </c>
      <c r="M182" s="25" t="n">
        <f aca="false">-('Distribution Waterfall'!$Q$15+'Distribution Waterfall'!$U$15)*'LP Register'!$F$17</f>
        <v>-0</v>
      </c>
      <c r="N182" s="26" t="n">
        <f aca="false">F182+G182-K182+L182+M182</f>
        <v>2223349.09536</v>
      </c>
      <c r="O182" s="7" t="str">
        <f aca="false">B182&amp;"|"&amp;D182</f>
        <v>12|LP-14</v>
      </c>
    </row>
    <row r="183" customFormat="false" ht="15" hidden="false" customHeight="true" outlineLevel="0" collapsed="false">
      <c r="B183" s="7" t="n">
        <v>12</v>
      </c>
      <c r="C183" s="9" t="str">
        <f aca="false">Quarters!$E$15</f>
        <v>Q4 2024</v>
      </c>
      <c r="D183" s="7" t="s">
        <v>132</v>
      </c>
      <c r="E183" s="7" t="s">
        <v>133</v>
      </c>
      <c r="F183" s="22" t="n">
        <f aca="false">N168</f>
        <v>2083708.04544</v>
      </c>
      <c r="G183" s="25" t="n">
        <f aca="false">'LP Capital Calls'!$H$183</f>
        <v>8000</v>
      </c>
      <c r="H183" s="25" t="n">
        <f aca="false">'Distribution Waterfall'!$L$15*'LP Register'!$F$18</f>
        <v>0</v>
      </c>
      <c r="I183" s="25" t="n">
        <f aca="false">'Distribution Waterfall'!$N$15*'LP Register'!$F$18</f>
        <v>0</v>
      </c>
      <c r="J183" s="25" t="n">
        <f aca="false">'Distribution Waterfall'!$T$15*'LP Register'!$F$18</f>
        <v>0</v>
      </c>
      <c r="K183" s="26" t="n">
        <f aca="false">H183+I183+J183</f>
        <v>0</v>
      </c>
      <c r="L183" s="25" t="n">
        <f aca="false">('NAV Rollforward'!$G$15+'NAV Rollforward'!$H$15-'Mgmt Fee Schedule'!$G$15)*'LP Register'!$F$18</f>
        <v>131641.04992</v>
      </c>
      <c r="M183" s="25" t="n">
        <f aca="false">-('Distribution Waterfall'!$Q$15+'Distribution Waterfall'!$U$15)*'LP Register'!$F$18</f>
        <v>-0</v>
      </c>
      <c r="N183" s="26" t="n">
        <f aca="false">F183+G183-K183+L183+M183</f>
        <v>2223349.09536</v>
      </c>
      <c r="O183" s="7" t="str">
        <f aca="false">B183&amp;"|"&amp;D183</f>
        <v>12|LP-15</v>
      </c>
    </row>
    <row r="184" customFormat="false" ht="15" hidden="false" customHeight="true" outlineLevel="0" collapsed="false">
      <c r="B184" s="7" t="n">
        <v>13</v>
      </c>
      <c r="C184" s="9" t="str">
        <f aca="false">Quarters!$E$16</f>
        <v>Q1 2025</v>
      </c>
      <c r="D184" s="7" t="s">
        <v>97</v>
      </c>
      <c r="E184" s="7" t="s">
        <v>98</v>
      </c>
      <c r="F184" s="22" t="n">
        <f aca="false">N169</f>
        <v>11116745.4768</v>
      </c>
      <c r="G184" s="25" t="n">
        <f aca="false">'LP Capital Calls'!$H$184</f>
        <v>36400</v>
      </c>
      <c r="H184" s="25" t="n">
        <f aca="false">'Distribution Waterfall'!$L$16*'LP Register'!$F$4</f>
        <v>3105901.9184</v>
      </c>
      <c r="I184" s="25" t="n">
        <f aca="false">'Distribution Waterfall'!$N$16*'LP Register'!$F$4</f>
        <v>0</v>
      </c>
      <c r="J184" s="25" t="n">
        <f aca="false">'Distribution Waterfall'!$T$16*'LP Register'!$F$4</f>
        <v>0</v>
      </c>
      <c r="K184" s="26" t="n">
        <f aca="false">H184+I184+J184</f>
        <v>3105901.9184</v>
      </c>
      <c r="L184" s="25" t="n">
        <f aca="false">('NAV Rollforward'!$G$16+'NAV Rollforward'!$H$16-'Mgmt Fee Schedule'!$G$16)*'LP Register'!$F$4</f>
        <v>753308.681599999</v>
      </c>
      <c r="M184" s="25" t="n">
        <f aca="false">-('Distribution Waterfall'!$Q$16+'Distribution Waterfall'!$U$16)*'LP Register'!$F$4</f>
        <v>-0</v>
      </c>
      <c r="N184" s="26" t="n">
        <f aca="false">F184+G184-K184+L184+M184</f>
        <v>8800552.24</v>
      </c>
      <c r="O184" s="7" t="str">
        <f aca="false">B184&amp;"|"&amp;D184</f>
        <v>13|LP-01</v>
      </c>
    </row>
    <row r="185" customFormat="false" ht="15" hidden="false" customHeight="true" outlineLevel="0" collapsed="false">
      <c r="B185" s="7" t="n">
        <v>13</v>
      </c>
      <c r="C185" s="9" t="str">
        <f aca="false">Quarters!$E$16</f>
        <v>Q1 2025</v>
      </c>
      <c r="D185" s="7" t="s">
        <v>100</v>
      </c>
      <c r="E185" s="7" t="s">
        <v>101</v>
      </c>
      <c r="F185" s="22" t="n">
        <f aca="false">N170</f>
        <v>8337559.1076</v>
      </c>
      <c r="G185" s="25" t="n">
        <f aca="false">'LP Capital Calls'!$H$185</f>
        <v>27300</v>
      </c>
      <c r="H185" s="25" t="n">
        <f aca="false">'Distribution Waterfall'!$L$16*'LP Register'!$F$5</f>
        <v>2329426.4388</v>
      </c>
      <c r="I185" s="25" t="n">
        <f aca="false">'Distribution Waterfall'!$N$16*'LP Register'!$F$5</f>
        <v>0</v>
      </c>
      <c r="J185" s="25" t="n">
        <f aca="false">'Distribution Waterfall'!$T$16*'LP Register'!$F$5</f>
        <v>0</v>
      </c>
      <c r="K185" s="26" t="n">
        <f aca="false">H185+I185+J185</f>
        <v>2329426.4388</v>
      </c>
      <c r="L185" s="25" t="n">
        <f aca="false">('NAV Rollforward'!$G$16+'NAV Rollforward'!$H$16-'Mgmt Fee Schedule'!$G$16)*'LP Register'!$F$5</f>
        <v>564981.511199999</v>
      </c>
      <c r="M185" s="25" t="n">
        <f aca="false">-('Distribution Waterfall'!$Q$16+'Distribution Waterfall'!$U$16)*'LP Register'!$F$5</f>
        <v>-0</v>
      </c>
      <c r="N185" s="26" t="n">
        <f aca="false">F185+G185-K185+L185+M185</f>
        <v>6600414.18</v>
      </c>
      <c r="O185" s="7" t="str">
        <f aca="false">B185&amp;"|"&amp;D185</f>
        <v>13|LP-02</v>
      </c>
    </row>
    <row r="186" customFormat="false" ht="15" hidden="false" customHeight="true" outlineLevel="0" collapsed="false">
      <c r="B186" s="7" t="n">
        <v>13</v>
      </c>
      <c r="C186" s="9" t="str">
        <f aca="false">Quarters!$E$16</f>
        <v>Q1 2025</v>
      </c>
      <c r="D186" s="7" t="s">
        <v>103</v>
      </c>
      <c r="E186" s="7" t="s">
        <v>104</v>
      </c>
      <c r="F186" s="22" t="n">
        <f aca="false">N171</f>
        <v>7642762.5153</v>
      </c>
      <c r="G186" s="25" t="n">
        <f aca="false">'LP Capital Calls'!$H$186</f>
        <v>25025</v>
      </c>
      <c r="H186" s="25" t="n">
        <f aca="false">'Distribution Waterfall'!$L$16*'LP Register'!$F$6</f>
        <v>2135307.5689</v>
      </c>
      <c r="I186" s="25" t="n">
        <f aca="false">'Distribution Waterfall'!$N$16*'LP Register'!$F$6</f>
        <v>0</v>
      </c>
      <c r="J186" s="25" t="n">
        <f aca="false">'Distribution Waterfall'!$T$16*'LP Register'!$F$6</f>
        <v>0</v>
      </c>
      <c r="K186" s="26" t="n">
        <f aca="false">H186+I186+J186</f>
        <v>2135307.5689</v>
      </c>
      <c r="L186" s="25" t="n">
        <f aca="false">('NAV Rollforward'!$G$16+'NAV Rollforward'!$H$16-'Mgmt Fee Schedule'!$G$16)*'LP Register'!$F$6</f>
        <v>517899.718599999</v>
      </c>
      <c r="M186" s="25" t="n">
        <f aca="false">-('Distribution Waterfall'!$Q$16+'Distribution Waterfall'!$U$16)*'LP Register'!$F$6</f>
        <v>-0</v>
      </c>
      <c r="N186" s="26" t="n">
        <f aca="false">F186+G186-K186+L186+M186</f>
        <v>6050379.665</v>
      </c>
      <c r="O186" s="7" t="str">
        <f aca="false">B186&amp;"|"&amp;D186</f>
        <v>13|LP-03</v>
      </c>
    </row>
    <row r="187" customFormat="false" ht="15" hidden="false" customHeight="true" outlineLevel="0" collapsed="false">
      <c r="B187" s="7" t="n">
        <v>13</v>
      </c>
      <c r="C187" s="9" t="str">
        <f aca="false">Quarters!$E$16</f>
        <v>Q1 2025</v>
      </c>
      <c r="D187" s="7" t="s">
        <v>106</v>
      </c>
      <c r="E187" s="7" t="s">
        <v>107</v>
      </c>
      <c r="F187" s="22" t="n">
        <f aca="false">N172</f>
        <v>6947965.923</v>
      </c>
      <c r="G187" s="25" t="n">
        <f aca="false">'LP Capital Calls'!$H$187</f>
        <v>22750</v>
      </c>
      <c r="H187" s="25" t="n">
        <f aca="false">'Distribution Waterfall'!$L$16*'LP Register'!$F$7</f>
        <v>1941188.699</v>
      </c>
      <c r="I187" s="25" t="n">
        <f aca="false">'Distribution Waterfall'!$N$16*'LP Register'!$F$7</f>
        <v>0</v>
      </c>
      <c r="J187" s="25" t="n">
        <f aca="false">'Distribution Waterfall'!$T$16*'LP Register'!$F$7</f>
        <v>0</v>
      </c>
      <c r="K187" s="26" t="n">
        <f aca="false">H187+I187+J187</f>
        <v>1941188.699</v>
      </c>
      <c r="L187" s="25" t="n">
        <f aca="false">('NAV Rollforward'!$G$16+'NAV Rollforward'!$H$16-'Mgmt Fee Schedule'!$G$16)*'LP Register'!$F$7</f>
        <v>470817.925999999</v>
      </c>
      <c r="M187" s="25" t="n">
        <f aca="false">-('Distribution Waterfall'!$Q$16+'Distribution Waterfall'!$U$16)*'LP Register'!$F$7</f>
        <v>-0</v>
      </c>
      <c r="N187" s="26" t="n">
        <f aca="false">F187+G187-K187+L187+M187</f>
        <v>5500345.15</v>
      </c>
      <c r="O187" s="7" t="str">
        <f aca="false">B187&amp;"|"&amp;D187</f>
        <v>13|LP-04</v>
      </c>
    </row>
    <row r="188" customFormat="false" ht="15" hidden="false" customHeight="true" outlineLevel="0" collapsed="false">
      <c r="B188" s="7" t="n">
        <v>13</v>
      </c>
      <c r="C188" s="9" t="str">
        <f aca="false">Quarters!$E$16</f>
        <v>Q1 2025</v>
      </c>
      <c r="D188" s="7" t="s">
        <v>109</v>
      </c>
      <c r="E188" s="7" t="s">
        <v>110</v>
      </c>
      <c r="F188" s="22" t="n">
        <f aca="false">N173</f>
        <v>5558372.7384</v>
      </c>
      <c r="G188" s="25" t="n">
        <f aca="false">'LP Capital Calls'!$H$188</f>
        <v>18200</v>
      </c>
      <c r="H188" s="25" t="n">
        <f aca="false">'Distribution Waterfall'!$L$16*'LP Register'!$F$8</f>
        <v>1552950.9592</v>
      </c>
      <c r="I188" s="25" t="n">
        <f aca="false">'Distribution Waterfall'!$N$16*'LP Register'!$F$8</f>
        <v>0</v>
      </c>
      <c r="J188" s="25" t="n">
        <f aca="false">'Distribution Waterfall'!$T$16*'LP Register'!$F$8</f>
        <v>0</v>
      </c>
      <c r="K188" s="26" t="n">
        <f aca="false">H188+I188+J188</f>
        <v>1552950.9592</v>
      </c>
      <c r="L188" s="25" t="n">
        <f aca="false">('NAV Rollforward'!$G$16+'NAV Rollforward'!$H$16-'Mgmt Fee Schedule'!$G$16)*'LP Register'!$F$8</f>
        <v>376654.3408</v>
      </c>
      <c r="M188" s="25" t="n">
        <f aca="false">-('Distribution Waterfall'!$Q$16+'Distribution Waterfall'!$U$16)*'LP Register'!$F$8</f>
        <v>-0</v>
      </c>
      <c r="N188" s="26" t="n">
        <f aca="false">F188+G188-K188+L188+M188</f>
        <v>4400276.12</v>
      </c>
      <c r="O188" s="7" t="str">
        <f aca="false">B188&amp;"|"&amp;D188</f>
        <v>13|LP-05</v>
      </c>
    </row>
    <row r="189" customFormat="false" ht="15" hidden="false" customHeight="true" outlineLevel="0" collapsed="false">
      <c r="B189" s="7" t="n">
        <v>13</v>
      </c>
      <c r="C189" s="9" t="str">
        <f aca="false">Quarters!$E$16</f>
        <v>Q1 2025</v>
      </c>
      <c r="D189" s="7" t="s">
        <v>112</v>
      </c>
      <c r="E189" s="7" t="s">
        <v>113</v>
      </c>
      <c r="F189" s="22" t="n">
        <f aca="false">N174</f>
        <v>5558372.7384</v>
      </c>
      <c r="G189" s="25" t="n">
        <f aca="false">'LP Capital Calls'!$H$189</f>
        <v>18200</v>
      </c>
      <c r="H189" s="25" t="n">
        <f aca="false">'Distribution Waterfall'!$L$16*'LP Register'!$F$9</f>
        <v>1552950.9592</v>
      </c>
      <c r="I189" s="25" t="n">
        <f aca="false">'Distribution Waterfall'!$N$16*'LP Register'!$F$9</f>
        <v>0</v>
      </c>
      <c r="J189" s="25" t="n">
        <f aca="false">'Distribution Waterfall'!$T$16*'LP Register'!$F$9</f>
        <v>0</v>
      </c>
      <c r="K189" s="26" t="n">
        <f aca="false">H189+I189+J189</f>
        <v>1552950.9592</v>
      </c>
      <c r="L189" s="25" t="n">
        <f aca="false">('NAV Rollforward'!$G$16+'NAV Rollforward'!$H$16-'Mgmt Fee Schedule'!$G$16)*'LP Register'!$F$9</f>
        <v>376654.3408</v>
      </c>
      <c r="M189" s="25" t="n">
        <f aca="false">-('Distribution Waterfall'!$Q$16+'Distribution Waterfall'!$U$16)*'LP Register'!$F$9</f>
        <v>-0</v>
      </c>
      <c r="N189" s="26" t="n">
        <f aca="false">F189+G189-K189+L189+M189</f>
        <v>4400276.12</v>
      </c>
      <c r="O189" s="7" t="str">
        <f aca="false">B189&amp;"|"&amp;D189</f>
        <v>13|LP-06</v>
      </c>
    </row>
    <row r="190" customFormat="false" ht="15" hidden="false" customHeight="true" outlineLevel="0" collapsed="false">
      <c r="B190" s="7" t="n">
        <v>13</v>
      </c>
      <c r="C190" s="9" t="str">
        <f aca="false">Quarters!$E$16</f>
        <v>Q1 2025</v>
      </c>
      <c r="D190" s="7" t="s">
        <v>115</v>
      </c>
      <c r="E190" s="7" t="s">
        <v>116</v>
      </c>
      <c r="F190" s="22" t="n">
        <f aca="false">N175</f>
        <v>4168779.5538</v>
      </c>
      <c r="G190" s="25" t="n">
        <f aca="false">'LP Capital Calls'!$H$190</f>
        <v>13650</v>
      </c>
      <c r="H190" s="25" t="n">
        <f aca="false">'Distribution Waterfall'!$L$16*'LP Register'!$F$10</f>
        <v>1164713.2194</v>
      </c>
      <c r="I190" s="25" t="n">
        <f aca="false">'Distribution Waterfall'!$N$16*'LP Register'!$F$10</f>
        <v>0</v>
      </c>
      <c r="J190" s="25" t="n">
        <f aca="false">'Distribution Waterfall'!$T$16*'LP Register'!$F$10</f>
        <v>0</v>
      </c>
      <c r="K190" s="26" t="n">
        <f aca="false">H190+I190+J190</f>
        <v>1164713.2194</v>
      </c>
      <c r="L190" s="25" t="n">
        <f aca="false">('NAV Rollforward'!$G$16+'NAV Rollforward'!$H$16-'Mgmt Fee Schedule'!$G$16)*'LP Register'!$F$10</f>
        <v>282490.7556</v>
      </c>
      <c r="M190" s="25" t="n">
        <f aca="false">-('Distribution Waterfall'!$Q$16+'Distribution Waterfall'!$U$16)*'LP Register'!$F$10</f>
        <v>-0</v>
      </c>
      <c r="N190" s="26" t="n">
        <f aca="false">F190+G190-K190+L190+M190</f>
        <v>3300207.09</v>
      </c>
      <c r="O190" s="7" t="str">
        <f aca="false">B190&amp;"|"&amp;D190</f>
        <v>13|LP-07</v>
      </c>
    </row>
    <row r="191" customFormat="false" ht="15" hidden="false" customHeight="true" outlineLevel="0" collapsed="false">
      <c r="B191" s="7" t="n">
        <v>13</v>
      </c>
      <c r="C191" s="9" t="str">
        <f aca="false">Quarters!$E$16</f>
        <v>Q1 2025</v>
      </c>
      <c r="D191" s="7" t="s">
        <v>117</v>
      </c>
      <c r="E191" s="7" t="s">
        <v>118</v>
      </c>
      <c r="F191" s="22" t="n">
        <f aca="false">N176</f>
        <v>3473982.9615</v>
      </c>
      <c r="G191" s="25" t="n">
        <f aca="false">'LP Capital Calls'!$H$191</f>
        <v>11375</v>
      </c>
      <c r="H191" s="25" t="n">
        <f aca="false">'Distribution Waterfall'!$L$16*'LP Register'!$F$11</f>
        <v>970594.3495</v>
      </c>
      <c r="I191" s="25" t="n">
        <f aca="false">'Distribution Waterfall'!$N$16*'LP Register'!$F$11</f>
        <v>0</v>
      </c>
      <c r="J191" s="25" t="n">
        <f aca="false">'Distribution Waterfall'!$T$16*'LP Register'!$F$11</f>
        <v>0</v>
      </c>
      <c r="K191" s="26" t="n">
        <f aca="false">H191+I191+J191</f>
        <v>970594.3495</v>
      </c>
      <c r="L191" s="25" t="n">
        <f aca="false">('NAV Rollforward'!$G$16+'NAV Rollforward'!$H$16-'Mgmt Fee Schedule'!$G$16)*'LP Register'!$F$11</f>
        <v>235408.963</v>
      </c>
      <c r="M191" s="25" t="n">
        <f aca="false">-('Distribution Waterfall'!$Q$16+'Distribution Waterfall'!$U$16)*'LP Register'!$F$11</f>
        <v>-0</v>
      </c>
      <c r="N191" s="26" t="n">
        <f aca="false">F191+G191-K191+L191+M191</f>
        <v>2750172.575</v>
      </c>
      <c r="O191" s="7" t="str">
        <f aca="false">B191&amp;"|"&amp;D191</f>
        <v>13|LP-08</v>
      </c>
    </row>
    <row r="192" customFormat="false" ht="15" hidden="false" customHeight="true" outlineLevel="0" collapsed="false">
      <c r="B192" s="7" t="n">
        <v>13</v>
      </c>
      <c r="C192" s="9" t="str">
        <f aca="false">Quarters!$E$16</f>
        <v>Q1 2025</v>
      </c>
      <c r="D192" s="7" t="s">
        <v>119</v>
      </c>
      <c r="E192" s="7" t="s">
        <v>120</v>
      </c>
      <c r="F192" s="22" t="n">
        <f aca="false">N177</f>
        <v>2779186.3692</v>
      </c>
      <c r="G192" s="25" t="n">
        <f aca="false">'LP Capital Calls'!$H$192</f>
        <v>9100</v>
      </c>
      <c r="H192" s="25" t="n">
        <f aca="false">'Distribution Waterfall'!$L$16*'LP Register'!$F$12</f>
        <v>776475.4796</v>
      </c>
      <c r="I192" s="25" t="n">
        <f aca="false">'Distribution Waterfall'!$N$16*'LP Register'!$F$12</f>
        <v>0</v>
      </c>
      <c r="J192" s="25" t="n">
        <f aca="false">'Distribution Waterfall'!$T$16*'LP Register'!$F$12</f>
        <v>0</v>
      </c>
      <c r="K192" s="26" t="n">
        <f aca="false">H192+I192+J192</f>
        <v>776475.4796</v>
      </c>
      <c r="L192" s="25" t="n">
        <f aca="false">('NAV Rollforward'!$G$16+'NAV Rollforward'!$H$16-'Mgmt Fee Schedule'!$G$16)*'LP Register'!$F$12</f>
        <v>188327.1704</v>
      </c>
      <c r="M192" s="25" t="n">
        <f aca="false">-('Distribution Waterfall'!$Q$16+'Distribution Waterfall'!$U$16)*'LP Register'!$F$12</f>
        <v>-0</v>
      </c>
      <c r="N192" s="26" t="n">
        <f aca="false">F192+G192-K192+L192+M192</f>
        <v>2200138.06</v>
      </c>
      <c r="O192" s="7" t="str">
        <f aca="false">B192&amp;"|"&amp;D192</f>
        <v>13|LP-09</v>
      </c>
    </row>
    <row r="193" customFormat="false" ht="15" hidden="false" customHeight="true" outlineLevel="0" collapsed="false">
      <c r="B193" s="7" t="n">
        <v>13</v>
      </c>
      <c r="C193" s="9" t="str">
        <f aca="false">Quarters!$E$16</f>
        <v>Q1 2025</v>
      </c>
      <c r="D193" s="7" t="s">
        <v>121</v>
      </c>
      <c r="E193" s="7" t="s">
        <v>122</v>
      </c>
      <c r="F193" s="22" t="n">
        <f aca="false">N178</f>
        <v>2779186.3692</v>
      </c>
      <c r="G193" s="25" t="n">
        <f aca="false">'LP Capital Calls'!$H$193</f>
        <v>9100</v>
      </c>
      <c r="H193" s="25" t="n">
        <f aca="false">'Distribution Waterfall'!$L$16*'LP Register'!$F$13</f>
        <v>776475.4796</v>
      </c>
      <c r="I193" s="25" t="n">
        <f aca="false">'Distribution Waterfall'!$N$16*'LP Register'!$F$13</f>
        <v>0</v>
      </c>
      <c r="J193" s="25" t="n">
        <f aca="false">'Distribution Waterfall'!$T$16*'LP Register'!$F$13</f>
        <v>0</v>
      </c>
      <c r="K193" s="26" t="n">
        <f aca="false">H193+I193+J193</f>
        <v>776475.4796</v>
      </c>
      <c r="L193" s="25" t="n">
        <f aca="false">('NAV Rollforward'!$G$16+'NAV Rollforward'!$H$16-'Mgmt Fee Schedule'!$G$16)*'LP Register'!$F$13</f>
        <v>188327.1704</v>
      </c>
      <c r="M193" s="25" t="n">
        <f aca="false">-('Distribution Waterfall'!$Q$16+'Distribution Waterfall'!$U$16)*'LP Register'!$F$13</f>
        <v>-0</v>
      </c>
      <c r="N193" s="26" t="n">
        <f aca="false">F193+G193-K193+L193+M193</f>
        <v>2200138.06</v>
      </c>
      <c r="O193" s="7" t="str">
        <f aca="false">B193&amp;"|"&amp;D193</f>
        <v>13|LP-10</v>
      </c>
    </row>
    <row r="194" customFormat="false" ht="15" hidden="false" customHeight="true" outlineLevel="0" collapsed="false">
      <c r="B194" s="7" t="n">
        <v>13</v>
      </c>
      <c r="C194" s="9" t="str">
        <f aca="false">Quarters!$E$16</f>
        <v>Q1 2025</v>
      </c>
      <c r="D194" s="7" t="s">
        <v>124</v>
      </c>
      <c r="E194" s="7" t="s">
        <v>125</v>
      </c>
      <c r="F194" s="22" t="n">
        <f aca="false">N179</f>
        <v>2501267.73228</v>
      </c>
      <c r="G194" s="25" t="n">
        <f aca="false">'LP Capital Calls'!$H$194</f>
        <v>8190</v>
      </c>
      <c r="H194" s="25" t="n">
        <f aca="false">'Distribution Waterfall'!$L$16*'LP Register'!$F$14</f>
        <v>698827.93164</v>
      </c>
      <c r="I194" s="25" t="n">
        <f aca="false">'Distribution Waterfall'!$N$16*'LP Register'!$F$14</f>
        <v>0</v>
      </c>
      <c r="J194" s="25" t="n">
        <f aca="false">'Distribution Waterfall'!$T$16*'LP Register'!$F$14</f>
        <v>0</v>
      </c>
      <c r="K194" s="26" t="n">
        <f aca="false">H194+I194+J194</f>
        <v>698827.93164</v>
      </c>
      <c r="L194" s="25" t="n">
        <f aca="false">('NAV Rollforward'!$G$16+'NAV Rollforward'!$H$16-'Mgmt Fee Schedule'!$G$16)*'LP Register'!$F$14</f>
        <v>169494.45336</v>
      </c>
      <c r="M194" s="25" t="n">
        <f aca="false">-('Distribution Waterfall'!$Q$16+'Distribution Waterfall'!$U$16)*'LP Register'!$F$14</f>
        <v>-0</v>
      </c>
      <c r="N194" s="26" t="n">
        <f aca="false">F194+G194-K194+L194+M194</f>
        <v>1980124.254</v>
      </c>
      <c r="O194" s="7" t="str">
        <f aca="false">B194&amp;"|"&amp;D194</f>
        <v>13|LP-11</v>
      </c>
    </row>
    <row r="195" customFormat="false" ht="15" hidden="false" customHeight="true" outlineLevel="0" collapsed="false">
      <c r="B195" s="7" t="n">
        <v>13</v>
      </c>
      <c r="C195" s="9" t="str">
        <f aca="false">Quarters!$E$16</f>
        <v>Q1 2025</v>
      </c>
      <c r="D195" s="7" t="s">
        <v>126</v>
      </c>
      <c r="E195" s="7" t="s">
        <v>127</v>
      </c>
      <c r="F195" s="22" t="n">
        <f aca="false">N180</f>
        <v>2084389.7769</v>
      </c>
      <c r="G195" s="25" t="n">
        <f aca="false">'LP Capital Calls'!$H$195</f>
        <v>6825</v>
      </c>
      <c r="H195" s="25" t="n">
        <f aca="false">'Distribution Waterfall'!$L$16*'LP Register'!$F$15</f>
        <v>582356.6097</v>
      </c>
      <c r="I195" s="25" t="n">
        <f aca="false">'Distribution Waterfall'!$N$16*'LP Register'!$F$15</f>
        <v>0</v>
      </c>
      <c r="J195" s="25" t="n">
        <f aca="false">'Distribution Waterfall'!$T$16*'LP Register'!$F$15</f>
        <v>0</v>
      </c>
      <c r="K195" s="26" t="n">
        <f aca="false">H195+I195+J195</f>
        <v>582356.6097</v>
      </c>
      <c r="L195" s="25" t="n">
        <f aca="false">('NAV Rollforward'!$G$16+'NAV Rollforward'!$H$16-'Mgmt Fee Schedule'!$G$16)*'LP Register'!$F$15</f>
        <v>141245.3778</v>
      </c>
      <c r="M195" s="25" t="n">
        <f aca="false">-('Distribution Waterfall'!$Q$16+'Distribution Waterfall'!$U$16)*'LP Register'!$F$15</f>
        <v>-0</v>
      </c>
      <c r="N195" s="26" t="n">
        <f aca="false">F195+G195-K195+L195+M195</f>
        <v>1650103.545</v>
      </c>
      <c r="O195" s="7" t="str">
        <f aca="false">B195&amp;"|"&amp;D195</f>
        <v>13|LP-12</v>
      </c>
    </row>
    <row r="196" customFormat="false" ht="15" hidden="false" customHeight="true" outlineLevel="0" collapsed="false">
      <c r="B196" s="7" t="n">
        <v>13</v>
      </c>
      <c r="C196" s="9" t="str">
        <f aca="false">Quarters!$E$16</f>
        <v>Q1 2025</v>
      </c>
      <c r="D196" s="7" t="s">
        <v>128</v>
      </c>
      <c r="E196" s="7" t="s">
        <v>129</v>
      </c>
      <c r="F196" s="22" t="n">
        <f aca="false">N181</f>
        <v>2084389.7769</v>
      </c>
      <c r="G196" s="25" t="n">
        <f aca="false">'LP Capital Calls'!$H$196</f>
        <v>6825</v>
      </c>
      <c r="H196" s="25" t="n">
        <f aca="false">'Distribution Waterfall'!$L$16*'LP Register'!$F$16</f>
        <v>582356.6097</v>
      </c>
      <c r="I196" s="25" t="n">
        <f aca="false">'Distribution Waterfall'!$N$16*'LP Register'!$F$16</f>
        <v>0</v>
      </c>
      <c r="J196" s="25" t="n">
        <f aca="false">'Distribution Waterfall'!$T$16*'LP Register'!$F$16</f>
        <v>0</v>
      </c>
      <c r="K196" s="26" t="n">
        <f aca="false">H196+I196+J196</f>
        <v>582356.6097</v>
      </c>
      <c r="L196" s="25" t="n">
        <f aca="false">('NAV Rollforward'!$G$16+'NAV Rollforward'!$H$16-'Mgmt Fee Schedule'!$G$16)*'LP Register'!$F$16</f>
        <v>141245.3778</v>
      </c>
      <c r="M196" s="25" t="n">
        <f aca="false">-('Distribution Waterfall'!$Q$16+'Distribution Waterfall'!$U$16)*'LP Register'!$F$16</f>
        <v>-0</v>
      </c>
      <c r="N196" s="26" t="n">
        <f aca="false">F196+G196-K196+L196+M196</f>
        <v>1650103.545</v>
      </c>
      <c r="O196" s="7" t="str">
        <f aca="false">B196&amp;"|"&amp;D196</f>
        <v>13|LP-13</v>
      </c>
    </row>
    <row r="197" customFormat="false" ht="15" hidden="false" customHeight="true" outlineLevel="0" collapsed="false">
      <c r="B197" s="7" t="n">
        <v>13</v>
      </c>
      <c r="C197" s="9" t="str">
        <f aca="false">Quarters!$E$16</f>
        <v>Q1 2025</v>
      </c>
      <c r="D197" s="7" t="s">
        <v>130</v>
      </c>
      <c r="E197" s="7" t="s">
        <v>131</v>
      </c>
      <c r="F197" s="22" t="n">
        <f aca="false">N182</f>
        <v>2223349.09536</v>
      </c>
      <c r="G197" s="25" t="n">
        <f aca="false">'LP Capital Calls'!$H$197</f>
        <v>7280</v>
      </c>
      <c r="H197" s="25" t="n">
        <f aca="false">'Distribution Waterfall'!$L$16*'LP Register'!$F$17</f>
        <v>621180.38368</v>
      </c>
      <c r="I197" s="25" t="n">
        <f aca="false">'Distribution Waterfall'!$N$16*'LP Register'!$F$17</f>
        <v>0</v>
      </c>
      <c r="J197" s="25" t="n">
        <f aca="false">'Distribution Waterfall'!$T$16*'LP Register'!$F$17</f>
        <v>0</v>
      </c>
      <c r="K197" s="26" t="n">
        <f aca="false">H197+I197+J197</f>
        <v>621180.38368</v>
      </c>
      <c r="L197" s="25" t="n">
        <f aca="false">('NAV Rollforward'!$G$16+'NAV Rollforward'!$H$16-'Mgmt Fee Schedule'!$G$16)*'LP Register'!$F$17</f>
        <v>150661.73632</v>
      </c>
      <c r="M197" s="25" t="n">
        <f aca="false">-('Distribution Waterfall'!$Q$16+'Distribution Waterfall'!$U$16)*'LP Register'!$F$17</f>
        <v>-0</v>
      </c>
      <c r="N197" s="26" t="n">
        <f aca="false">F197+G197-K197+L197+M197</f>
        <v>1760110.448</v>
      </c>
      <c r="O197" s="7" t="str">
        <f aca="false">B197&amp;"|"&amp;D197</f>
        <v>13|LP-14</v>
      </c>
    </row>
    <row r="198" customFormat="false" ht="15" hidden="false" customHeight="true" outlineLevel="0" collapsed="false">
      <c r="B198" s="7" t="n">
        <v>13</v>
      </c>
      <c r="C198" s="9" t="str">
        <f aca="false">Quarters!$E$16</f>
        <v>Q1 2025</v>
      </c>
      <c r="D198" s="7" t="s">
        <v>132</v>
      </c>
      <c r="E198" s="7" t="s">
        <v>133</v>
      </c>
      <c r="F198" s="22" t="n">
        <f aca="false">N183</f>
        <v>2223349.09536</v>
      </c>
      <c r="G198" s="25" t="n">
        <f aca="false">'LP Capital Calls'!$H$198</f>
        <v>7280</v>
      </c>
      <c r="H198" s="25" t="n">
        <f aca="false">'Distribution Waterfall'!$L$16*'LP Register'!$F$18</f>
        <v>621180.38368</v>
      </c>
      <c r="I198" s="25" t="n">
        <f aca="false">'Distribution Waterfall'!$N$16*'LP Register'!$F$18</f>
        <v>0</v>
      </c>
      <c r="J198" s="25" t="n">
        <f aca="false">'Distribution Waterfall'!$T$16*'LP Register'!$F$18</f>
        <v>0</v>
      </c>
      <c r="K198" s="26" t="n">
        <f aca="false">H198+I198+J198</f>
        <v>621180.38368</v>
      </c>
      <c r="L198" s="25" t="n">
        <f aca="false">('NAV Rollforward'!$G$16+'NAV Rollforward'!$H$16-'Mgmt Fee Schedule'!$G$16)*'LP Register'!$F$18</f>
        <v>150661.73632</v>
      </c>
      <c r="M198" s="25" t="n">
        <f aca="false">-('Distribution Waterfall'!$Q$16+'Distribution Waterfall'!$U$16)*'LP Register'!$F$18</f>
        <v>-0</v>
      </c>
      <c r="N198" s="26" t="n">
        <f aca="false">F198+G198-K198+L198+M198</f>
        <v>1760110.448</v>
      </c>
      <c r="O198" s="7" t="str">
        <f aca="false">B198&amp;"|"&amp;D198</f>
        <v>13|LP-15</v>
      </c>
    </row>
    <row r="199" customFormat="false" ht="15" hidden="false" customHeight="true" outlineLevel="0" collapsed="false">
      <c r="B199" s="7" t="n">
        <v>14</v>
      </c>
      <c r="C199" s="9" t="str">
        <f aca="false">Quarters!$E$17</f>
        <v>Q2 2025</v>
      </c>
      <c r="D199" s="7" t="s">
        <v>97</v>
      </c>
      <c r="E199" s="7" t="s">
        <v>98</v>
      </c>
      <c r="F199" s="22" t="n">
        <f aca="false">N184</f>
        <v>8800552.24</v>
      </c>
      <c r="G199" s="25" t="n">
        <f aca="false">'LP Capital Calls'!$H$199</f>
        <v>36400</v>
      </c>
      <c r="H199" s="25" t="n">
        <f aca="false">'Distribution Waterfall'!$L$17*'LP Register'!$F$4</f>
        <v>0</v>
      </c>
      <c r="I199" s="25" t="n">
        <f aca="false">'Distribution Waterfall'!$N$17*'LP Register'!$F$4</f>
        <v>0</v>
      </c>
      <c r="J199" s="25" t="n">
        <f aca="false">'Distribution Waterfall'!$T$17*'LP Register'!$F$4</f>
        <v>0</v>
      </c>
      <c r="K199" s="26" t="n">
        <f aca="false">H199+I199+J199</f>
        <v>0</v>
      </c>
      <c r="L199" s="25" t="n">
        <f aca="false">('NAV Rollforward'!$G$17+'NAV Rollforward'!$H$17-'Mgmt Fee Schedule'!$G$17)*'LP Register'!$F$4</f>
        <v>435721.6464</v>
      </c>
      <c r="M199" s="25" t="n">
        <f aca="false">-('Distribution Waterfall'!$Q$17+'Distribution Waterfall'!$U$17)*'LP Register'!$F$4</f>
        <v>-0</v>
      </c>
      <c r="N199" s="26" t="n">
        <f aca="false">F199+G199-K199+L199+M199</f>
        <v>9272673.8864</v>
      </c>
      <c r="O199" s="7" t="str">
        <f aca="false">B199&amp;"|"&amp;D199</f>
        <v>14|LP-01</v>
      </c>
    </row>
    <row r="200" customFormat="false" ht="15" hidden="false" customHeight="true" outlineLevel="0" collapsed="false">
      <c r="B200" s="7" t="n">
        <v>14</v>
      </c>
      <c r="C200" s="9" t="str">
        <f aca="false">Quarters!$E$17</f>
        <v>Q2 2025</v>
      </c>
      <c r="D200" s="7" t="s">
        <v>100</v>
      </c>
      <c r="E200" s="7" t="s">
        <v>101</v>
      </c>
      <c r="F200" s="22" t="n">
        <f aca="false">N185</f>
        <v>6600414.18</v>
      </c>
      <c r="G200" s="25" t="n">
        <f aca="false">'LP Capital Calls'!$H$200</f>
        <v>27300</v>
      </c>
      <c r="H200" s="25" t="n">
        <f aca="false">'Distribution Waterfall'!$L$17*'LP Register'!$F$5</f>
        <v>0</v>
      </c>
      <c r="I200" s="25" t="n">
        <f aca="false">'Distribution Waterfall'!$N$17*'LP Register'!$F$5</f>
        <v>0</v>
      </c>
      <c r="J200" s="25" t="n">
        <f aca="false">'Distribution Waterfall'!$T$17*'LP Register'!$F$5</f>
        <v>0</v>
      </c>
      <c r="K200" s="26" t="n">
        <f aca="false">H200+I200+J200</f>
        <v>0</v>
      </c>
      <c r="L200" s="25" t="n">
        <f aca="false">('NAV Rollforward'!$G$17+'NAV Rollforward'!$H$17-'Mgmt Fee Schedule'!$G$17)*'LP Register'!$F$5</f>
        <v>326791.2348</v>
      </c>
      <c r="M200" s="25" t="n">
        <f aca="false">-('Distribution Waterfall'!$Q$17+'Distribution Waterfall'!$U$17)*'LP Register'!$F$5</f>
        <v>-0</v>
      </c>
      <c r="N200" s="26" t="n">
        <f aca="false">F200+G200-K200+L200+M200</f>
        <v>6954505.4148</v>
      </c>
      <c r="O200" s="7" t="str">
        <f aca="false">B200&amp;"|"&amp;D200</f>
        <v>14|LP-02</v>
      </c>
    </row>
    <row r="201" customFormat="false" ht="15" hidden="false" customHeight="true" outlineLevel="0" collapsed="false">
      <c r="B201" s="7" t="n">
        <v>14</v>
      </c>
      <c r="C201" s="9" t="str">
        <f aca="false">Quarters!$E$17</f>
        <v>Q2 2025</v>
      </c>
      <c r="D201" s="7" t="s">
        <v>103</v>
      </c>
      <c r="E201" s="7" t="s">
        <v>104</v>
      </c>
      <c r="F201" s="22" t="n">
        <f aca="false">N186</f>
        <v>6050379.665</v>
      </c>
      <c r="G201" s="25" t="n">
        <f aca="false">'LP Capital Calls'!$H$201</f>
        <v>25025</v>
      </c>
      <c r="H201" s="25" t="n">
        <f aca="false">'Distribution Waterfall'!$L$17*'LP Register'!$F$6</f>
        <v>0</v>
      </c>
      <c r="I201" s="25" t="n">
        <f aca="false">'Distribution Waterfall'!$N$17*'LP Register'!$F$6</f>
        <v>0</v>
      </c>
      <c r="J201" s="25" t="n">
        <f aca="false">'Distribution Waterfall'!$T$17*'LP Register'!$F$6</f>
        <v>0</v>
      </c>
      <c r="K201" s="26" t="n">
        <f aca="false">H201+I201+J201</f>
        <v>0</v>
      </c>
      <c r="L201" s="25" t="n">
        <f aca="false">('NAV Rollforward'!$G$17+'NAV Rollforward'!$H$17-'Mgmt Fee Schedule'!$G$17)*'LP Register'!$F$6</f>
        <v>299558.6319</v>
      </c>
      <c r="M201" s="25" t="n">
        <f aca="false">-('Distribution Waterfall'!$Q$17+'Distribution Waterfall'!$U$17)*'LP Register'!$F$6</f>
        <v>-0</v>
      </c>
      <c r="N201" s="26" t="n">
        <f aca="false">F201+G201-K201+L201+M201</f>
        <v>6374963.2969</v>
      </c>
      <c r="O201" s="7" t="str">
        <f aca="false">B201&amp;"|"&amp;D201</f>
        <v>14|LP-03</v>
      </c>
    </row>
    <row r="202" customFormat="false" ht="15" hidden="false" customHeight="true" outlineLevel="0" collapsed="false">
      <c r="B202" s="7" t="n">
        <v>14</v>
      </c>
      <c r="C202" s="9" t="str">
        <f aca="false">Quarters!$E$17</f>
        <v>Q2 2025</v>
      </c>
      <c r="D202" s="7" t="s">
        <v>106</v>
      </c>
      <c r="E202" s="7" t="s">
        <v>107</v>
      </c>
      <c r="F202" s="22" t="n">
        <f aca="false">N187</f>
        <v>5500345.15</v>
      </c>
      <c r="G202" s="25" t="n">
        <f aca="false">'LP Capital Calls'!$H$202</f>
        <v>22750</v>
      </c>
      <c r="H202" s="25" t="n">
        <f aca="false">'Distribution Waterfall'!$L$17*'LP Register'!$F$7</f>
        <v>0</v>
      </c>
      <c r="I202" s="25" t="n">
        <f aca="false">'Distribution Waterfall'!$N$17*'LP Register'!$F$7</f>
        <v>0</v>
      </c>
      <c r="J202" s="25" t="n">
        <f aca="false">'Distribution Waterfall'!$T$17*'LP Register'!$F$7</f>
        <v>0</v>
      </c>
      <c r="K202" s="26" t="n">
        <f aca="false">H202+I202+J202</f>
        <v>0</v>
      </c>
      <c r="L202" s="25" t="n">
        <f aca="false">('NAV Rollforward'!$G$17+'NAV Rollforward'!$H$17-'Mgmt Fee Schedule'!$G$17)*'LP Register'!$F$7</f>
        <v>272326.029</v>
      </c>
      <c r="M202" s="25" t="n">
        <f aca="false">-('Distribution Waterfall'!$Q$17+'Distribution Waterfall'!$U$17)*'LP Register'!$F$7</f>
        <v>-0</v>
      </c>
      <c r="N202" s="26" t="n">
        <f aca="false">F202+G202-K202+L202+M202</f>
        <v>5795421.179</v>
      </c>
      <c r="O202" s="7" t="str">
        <f aca="false">B202&amp;"|"&amp;D202</f>
        <v>14|LP-04</v>
      </c>
    </row>
    <row r="203" customFormat="false" ht="15" hidden="false" customHeight="true" outlineLevel="0" collapsed="false">
      <c r="B203" s="7" t="n">
        <v>14</v>
      </c>
      <c r="C203" s="9" t="str">
        <f aca="false">Quarters!$E$17</f>
        <v>Q2 2025</v>
      </c>
      <c r="D203" s="7" t="s">
        <v>109</v>
      </c>
      <c r="E203" s="7" t="s">
        <v>110</v>
      </c>
      <c r="F203" s="22" t="n">
        <f aca="false">N188</f>
        <v>4400276.12</v>
      </c>
      <c r="G203" s="25" t="n">
        <f aca="false">'LP Capital Calls'!$H$203</f>
        <v>18200</v>
      </c>
      <c r="H203" s="25" t="n">
        <f aca="false">'Distribution Waterfall'!$L$17*'LP Register'!$F$8</f>
        <v>0</v>
      </c>
      <c r="I203" s="25" t="n">
        <f aca="false">'Distribution Waterfall'!$N$17*'LP Register'!$F$8</f>
        <v>0</v>
      </c>
      <c r="J203" s="25" t="n">
        <f aca="false">'Distribution Waterfall'!$T$17*'LP Register'!$F$8</f>
        <v>0</v>
      </c>
      <c r="K203" s="26" t="n">
        <f aca="false">H203+I203+J203</f>
        <v>0</v>
      </c>
      <c r="L203" s="25" t="n">
        <f aca="false">('NAV Rollforward'!$G$17+'NAV Rollforward'!$H$17-'Mgmt Fee Schedule'!$G$17)*'LP Register'!$F$8</f>
        <v>217860.8232</v>
      </c>
      <c r="M203" s="25" t="n">
        <f aca="false">-('Distribution Waterfall'!$Q$17+'Distribution Waterfall'!$U$17)*'LP Register'!$F$8</f>
        <v>-0</v>
      </c>
      <c r="N203" s="26" t="n">
        <f aca="false">F203+G203-K203+L203+M203</f>
        <v>4636336.9432</v>
      </c>
      <c r="O203" s="7" t="str">
        <f aca="false">B203&amp;"|"&amp;D203</f>
        <v>14|LP-05</v>
      </c>
    </row>
    <row r="204" customFormat="false" ht="15" hidden="false" customHeight="true" outlineLevel="0" collapsed="false">
      <c r="B204" s="7" t="n">
        <v>14</v>
      </c>
      <c r="C204" s="9" t="str">
        <f aca="false">Quarters!$E$17</f>
        <v>Q2 2025</v>
      </c>
      <c r="D204" s="7" t="s">
        <v>112</v>
      </c>
      <c r="E204" s="7" t="s">
        <v>113</v>
      </c>
      <c r="F204" s="22" t="n">
        <f aca="false">N189</f>
        <v>4400276.12</v>
      </c>
      <c r="G204" s="25" t="n">
        <f aca="false">'LP Capital Calls'!$H$204</f>
        <v>18200</v>
      </c>
      <c r="H204" s="25" t="n">
        <f aca="false">'Distribution Waterfall'!$L$17*'LP Register'!$F$9</f>
        <v>0</v>
      </c>
      <c r="I204" s="25" t="n">
        <f aca="false">'Distribution Waterfall'!$N$17*'LP Register'!$F$9</f>
        <v>0</v>
      </c>
      <c r="J204" s="25" t="n">
        <f aca="false">'Distribution Waterfall'!$T$17*'LP Register'!$F$9</f>
        <v>0</v>
      </c>
      <c r="K204" s="26" t="n">
        <f aca="false">H204+I204+J204</f>
        <v>0</v>
      </c>
      <c r="L204" s="25" t="n">
        <f aca="false">('NAV Rollforward'!$G$17+'NAV Rollforward'!$H$17-'Mgmt Fee Schedule'!$G$17)*'LP Register'!$F$9</f>
        <v>217860.8232</v>
      </c>
      <c r="M204" s="25" t="n">
        <f aca="false">-('Distribution Waterfall'!$Q$17+'Distribution Waterfall'!$U$17)*'LP Register'!$F$9</f>
        <v>-0</v>
      </c>
      <c r="N204" s="26" t="n">
        <f aca="false">F204+G204-K204+L204+M204</f>
        <v>4636336.9432</v>
      </c>
      <c r="O204" s="7" t="str">
        <f aca="false">B204&amp;"|"&amp;D204</f>
        <v>14|LP-06</v>
      </c>
    </row>
    <row r="205" customFormat="false" ht="15" hidden="false" customHeight="true" outlineLevel="0" collapsed="false">
      <c r="B205" s="7" t="n">
        <v>14</v>
      </c>
      <c r="C205" s="9" t="str">
        <f aca="false">Quarters!$E$17</f>
        <v>Q2 2025</v>
      </c>
      <c r="D205" s="7" t="s">
        <v>115</v>
      </c>
      <c r="E205" s="7" t="s">
        <v>116</v>
      </c>
      <c r="F205" s="22" t="n">
        <f aca="false">N190</f>
        <v>3300207.09</v>
      </c>
      <c r="G205" s="25" t="n">
        <f aca="false">'LP Capital Calls'!$H$205</f>
        <v>13650</v>
      </c>
      <c r="H205" s="25" t="n">
        <f aca="false">'Distribution Waterfall'!$L$17*'LP Register'!$F$10</f>
        <v>0</v>
      </c>
      <c r="I205" s="25" t="n">
        <f aca="false">'Distribution Waterfall'!$N$17*'LP Register'!$F$10</f>
        <v>0</v>
      </c>
      <c r="J205" s="25" t="n">
        <f aca="false">'Distribution Waterfall'!$T$17*'LP Register'!$F$10</f>
        <v>0</v>
      </c>
      <c r="K205" s="26" t="n">
        <f aca="false">H205+I205+J205</f>
        <v>0</v>
      </c>
      <c r="L205" s="25" t="n">
        <f aca="false">('NAV Rollforward'!$G$17+'NAV Rollforward'!$H$17-'Mgmt Fee Schedule'!$G$17)*'LP Register'!$F$10</f>
        <v>163395.6174</v>
      </c>
      <c r="M205" s="25" t="n">
        <f aca="false">-('Distribution Waterfall'!$Q$17+'Distribution Waterfall'!$U$17)*'LP Register'!$F$10</f>
        <v>-0</v>
      </c>
      <c r="N205" s="26" t="n">
        <f aca="false">F205+G205-K205+L205+M205</f>
        <v>3477252.7074</v>
      </c>
      <c r="O205" s="7" t="str">
        <f aca="false">B205&amp;"|"&amp;D205</f>
        <v>14|LP-07</v>
      </c>
    </row>
    <row r="206" customFormat="false" ht="15" hidden="false" customHeight="true" outlineLevel="0" collapsed="false">
      <c r="B206" s="7" t="n">
        <v>14</v>
      </c>
      <c r="C206" s="9" t="str">
        <f aca="false">Quarters!$E$17</f>
        <v>Q2 2025</v>
      </c>
      <c r="D206" s="7" t="s">
        <v>117</v>
      </c>
      <c r="E206" s="7" t="s">
        <v>118</v>
      </c>
      <c r="F206" s="22" t="n">
        <f aca="false">N191</f>
        <v>2750172.575</v>
      </c>
      <c r="G206" s="25" t="n">
        <f aca="false">'LP Capital Calls'!$H$206</f>
        <v>11375</v>
      </c>
      <c r="H206" s="25" t="n">
        <f aca="false">'Distribution Waterfall'!$L$17*'LP Register'!$F$11</f>
        <v>0</v>
      </c>
      <c r="I206" s="25" t="n">
        <f aca="false">'Distribution Waterfall'!$N$17*'LP Register'!$F$11</f>
        <v>0</v>
      </c>
      <c r="J206" s="25" t="n">
        <f aca="false">'Distribution Waterfall'!$T$17*'LP Register'!$F$11</f>
        <v>0</v>
      </c>
      <c r="K206" s="26" t="n">
        <f aca="false">H206+I206+J206</f>
        <v>0</v>
      </c>
      <c r="L206" s="25" t="n">
        <f aca="false">('NAV Rollforward'!$G$17+'NAV Rollforward'!$H$17-'Mgmt Fee Schedule'!$G$17)*'LP Register'!$F$11</f>
        <v>136163.0145</v>
      </c>
      <c r="M206" s="25" t="n">
        <f aca="false">-('Distribution Waterfall'!$Q$17+'Distribution Waterfall'!$U$17)*'LP Register'!$F$11</f>
        <v>-0</v>
      </c>
      <c r="N206" s="26" t="n">
        <f aca="false">F206+G206-K206+L206+M206</f>
        <v>2897710.5895</v>
      </c>
      <c r="O206" s="7" t="str">
        <f aca="false">B206&amp;"|"&amp;D206</f>
        <v>14|LP-08</v>
      </c>
    </row>
    <row r="207" customFormat="false" ht="15" hidden="false" customHeight="true" outlineLevel="0" collapsed="false">
      <c r="B207" s="7" t="n">
        <v>14</v>
      </c>
      <c r="C207" s="9" t="str">
        <f aca="false">Quarters!$E$17</f>
        <v>Q2 2025</v>
      </c>
      <c r="D207" s="7" t="s">
        <v>119</v>
      </c>
      <c r="E207" s="7" t="s">
        <v>120</v>
      </c>
      <c r="F207" s="22" t="n">
        <f aca="false">N192</f>
        <v>2200138.06</v>
      </c>
      <c r="G207" s="25" t="n">
        <f aca="false">'LP Capital Calls'!$H$207</f>
        <v>9100</v>
      </c>
      <c r="H207" s="25" t="n">
        <f aca="false">'Distribution Waterfall'!$L$17*'LP Register'!$F$12</f>
        <v>0</v>
      </c>
      <c r="I207" s="25" t="n">
        <f aca="false">'Distribution Waterfall'!$N$17*'LP Register'!$F$12</f>
        <v>0</v>
      </c>
      <c r="J207" s="25" t="n">
        <f aca="false">'Distribution Waterfall'!$T$17*'LP Register'!$F$12</f>
        <v>0</v>
      </c>
      <c r="K207" s="26" t="n">
        <f aca="false">H207+I207+J207</f>
        <v>0</v>
      </c>
      <c r="L207" s="25" t="n">
        <f aca="false">('NAV Rollforward'!$G$17+'NAV Rollforward'!$H$17-'Mgmt Fee Schedule'!$G$17)*'LP Register'!$F$12</f>
        <v>108930.4116</v>
      </c>
      <c r="M207" s="25" t="n">
        <f aca="false">-('Distribution Waterfall'!$Q$17+'Distribution Waterfall'!$U$17)*'LP Register'!$F$12</f>
        <v>-0</v>
      </c>
      <c r="N207" s="26" t="n">
        <f aca="false">F207+G207-K207+L207+M207</f>
        <v>2318168.4716</v>
      </c>
      <c r="O207" s="7" t="str">
        <f aca="false">B207&amp;"|"&amp;D207</f>
        <v>14|LP-09</v>
      </c>
    </row>
    <row r="208" customFormat="false" ht="15" hidden="false" customHeight="true" outlineLevel="0" collapsed="false">
      <c r="B208" s="7" t="n">
        <v>14</v>
      </c>
      <c r="C208" s="9" t="str">
        <f aca="false">Quarters!$E$17</f>
        <v>Q2 2025</v>
      </c>
      <c r="D208" s="7" t="s">
        <v>121</v>
      </c>
      <c r="E208" s="7" t="s">
        <v>122</v>
      </c>
      <c r="F208" s="22" t="n">
        <f aca="false">N193</f>
        <v>2200138.06</v>
      </c>
      <c r="G208" s="25" t="n">
        <f aca="false">'LP Capital Calls'!$H$208</f>
        <v>9100</v>
      </c>
      <c r="H208" s="25" t="n">
        <f aca="false">'Distribution Waterfall'!$L$17*'LP Register'!$F$13</f>
        <v>0</v>
      </c>
      <c r="I208" s="25" t="n">
        <f aca="false">'Distribution Waterfall'!$N$17*'LP Register'!$F$13</f>
        <v>0</v>
      </c>
      <c r="J208" s="25" t="n">
        <f aca="false">'Distribution Waterfall'!$T$17*'LP Register'!$F$13</f>
        <v>0</v>
      </c>
      <c r="K208" s="26" t="n">
        <f aca="false">H208+I208+J208</f>
        <v>0</v>
      </c>
      <c r="L208" s="25" t="n">
        <f aca="false">('NAV Rollforward'!$G$17+'NAV Rollforward'!$H$17-'Mgmt Fee Schedule'!$G$17)*'LP Register'!$F$13</f>
        <v>108930.4116</v>
      </c>
      <c r="M208" s="25" t="n">
        <f aca="false">-('Distribution Waterfall'!$Q$17+'Distribution Waterfall'!$U$17)*'LP Register'!$F$13</f>
        <v>-0</v>
      </c>
      <c r="N208" s="26" t="n">
        <f aca="false">F208+G208-K208+L208+M208</f>
        <v>2318168.4716</v>
      </c>
      <c r="O208" s="7" t="str">
        <f aca="false">B208&amp;"|"&amp;D208</f>
        <v>14|LP-10</v>
      </c>
    </row>
    <row r="209" customFormat="false" ht="15" hidden="false" customHeight="true" outlineLevel="0" collapsed="false">
      <c r="B209" s="7" t="n">
        <v>14</v>
      </c>
      <c r="C209" s="9" t="str">
        <f aca="false">Quarters!$E$17</f>
        <v>Q2 2025</v>
      </c>
      <c r="D209" s="7" t="s">
        <v>124</v>
      </c>
      <c r="E209" s="7" t="s">
        <v>125</v>
      </c>
      <c r="F209" s="22" t="n">
        <f aca="false">N194</f>
        <v>1980124.254</v>
      </c>
      <c r="G209" s="25" t="n">
        <f aca="false">'LP Capital Calls'!$H$209</f>
        <v>8190</v>
      </c>
      <c r="H209" s="25" t="n">
        <f aca="false">'Distribution Waterfall'!$L$17*'LP Register'!$F$14</f>
        <v>0</v>
      </c>
      <c r="I209" s="25" t="n">
        <f aca="false">'Distribution Waterfall'!$N$17*'LP Register'!$F$14</f>
        <v>0</v>
      </c>
      <c r="J209" s="25" t="n">
        <f aca="false">'Distribution Waterfall'!$T$17*'LP Register'!$F$14</f>
        <v>0</v>
      </c>
      <c r="K209" s="26" t="n">
        <f aca="false">H209+I209+J209</f>
        <v>0</v>
      </c>
      <c r="L209" s="25" t="n">
        <f aca="false">('NAV Rollforward'!$G$17+'NAV Rollforward'!$H$17-'Mgmt Fee Schedule'!$G$17)*'LP Register'!$F$14</f>
        <v>98037.37044</v>
      </c>
      <c r="M209" s="25" t="n">
        <f aca="false">-('Distribution Waterfall'!$Q$17+'Distribution Waterfall'!$U$17)*'LP Register'!$F$14</f>
        <v>-0</v>
      </c>
      <c r="N209" s="26" t="n">
        <f aca="false">F209+G209-K209+L209+M209</f>
        <v>2086351.62444</v>
      </c>
      <c r="O209" s="7" t="str">
        <f aca="false">B209&amp;"|"&amp;D209</f>
        <v>14|LP-11</v>
      </c>
    </row>
    <row r="210" customFormat="false" ht="15" hidden="false" customHeight="true" outlineLevel="0" collapsed="false">
      <c r="B210" s="7" t="n">
        <v>14</v>
      </c>
      <c r="C210" s="9" t="str">
        <f aca="false">Quarters!$E$17</f>
        <v>Q2 2025</v>
      </c>
      <c r="D210" s="7" t="s">
        <v>126</v>
      </c>
      <c r="E210" s="7" t="s">
        <v>127</v>
      </c>
      <c r="F210" s="22" t="n">
        <f aca="false">N195</f>
        <v>1650103.545</v>
      </c>
      <c r="G210" s="25" t="n">
        <f aca="false">'LP Capital Calls'!$H$210</f>
        <v>6825</v>
      </c>
      <c r="H210" s="25" t="n">
        <f aca="false">'Distribution Waterfall'!$L$17*'LP Register'!$F$15</f>
        <v>0</v>
      </c>
      <c r="I210" s="25" t="n">
        <f aca="false">'Distribution Waterfall'!$N$17*'LP Register'!$F$15</f>
        <v>0</v>
      </c>
      <c r="J210" s="25" t="n">
        <f aca="false">'Distribution Waterfall'!$T$17*'LP Register'!$F$15</f>
        <v>0</v>
      </c>
      <c r="K210" s="26" t="n">
        <f aca="false">H210+I210+J210</f>
        <v>0</v>
      </c>
      <c r="L210" s="25" t="n">
        <f aca="false">('NAV Rollforward'!$G$17+'NAV Rollforward'!$H$17-'Mgmt Fee Schedule'!$G$17)*'LP Register'!$F$15</f>
        <v>81697.8087</v>
      </c>
      <c r="M210" s="25" t="n">
        <f aca="false">-('Distribution Waterfall'!$Q$17+'Distribution Waterfall'!$U$17)*'LP Register'!$F$15</f>
        <v>-0</v>
      </c>
      <c r="N210" s="26" t="n">
        <f aca="false">F210+G210-K210+L210+M210</f>
        <v>1738626.3537</v>
      </c>
      <c r="O210" s="7" t="str">
        <f aca="false">B210&amp;"|"&amp;D210</f>
        <v>14|LP-12</v>
      </c>
    </row>
    <row r="211" customFormat="false" ht="15" hidden="false" customHeight="true" outlineLevel="0" collapsed="false">
      <c r="B211" s="7" t="n">
        <v>14</v>
      </c>
      <c r="C211" s="9" t="str">
        <f aca="false">Quarters!$E$17</f>
        <v>Q2 2025</v>
      </c>
      <c r="D211" s="7" t="s">
        <v>128</v>
      </c>
      <c r="E211" s="7" t="s">
        <v>129</v>
      </c>
      <c r="F211" s="22" t="n">
        <f aca="false">N196</f>
        <v>1650103.545</v>
      </c>
      <c r="G211" s="25" t="n">
        <f aca="false">'LP Capital Calls'!$H$211</f>
        <v>6825</v>
      </c>
      <c r="H211" s="25" t="n">
        <f aca="false">'Distribution Waterfall'!$L$17*'LP Register'!$F$16</f>
        <v>0</v>
      </c>
      <c r="I211" s="25" t="n">
        <f aca="false">'Distribution Waterfall'!$N$17*'LP Register'!$F$16</f>
        <v>0</v>
      </c>
      <c r="J211" s="25" t="n">
        <f aca="false">'Distribution Waterfall'!$T$17*'LP Register'!$F$16</f>
        <v>0</v>
      </c>
      <c r="K211" s="26" t="n">
        <f aca="false">H211+I211+J211</f>
        <v>0</v>
      </c>
      <c r="L211" s="25" t="n">
        <f aca="false">('NAV Rollforward'!$G$17+'NAV Rollforward'!$H$17-'Mgmt Fee Schedule'!$G$17)*'LP Register'!$F$16</f>
        <v>81697.8087</v>
      </c>
      <c r="M211" s="25" t="n">
        <f aca="false">-('Distribution Waterfall'!$Q$17+'Distribution Waterfall'!$U$17)*'LP Register'!$F$16</f>
        <v>-0</v>
      </c>
      <c r="N211" s="26" t="n">
        <f aca="false">F211+G211-K211+L211+M211</f>
        <v>1738626.3537</v>
      </c>
      <c r="O211" s="7" t="str">
        <f aca="false">B211&amp;"|"&amp;D211</f>
        <v>14|LP-13</v>
      </c>
    </row>
    <row r="212" customFormat="false" ht="15" hidden="false" customHeight="true" outlineLevel="0" collapsed="false">
      <c r="B212" s="7" t="n">
        <v>14</v>
      </c>
      <c r="C212" s="9" t="str">
        <f aca="false">Quarters!$E$17</f>
        <v>Q2 2025</v>
      </c>
      <c r="D212" s="7" t="s">
        <v>130</v>
      </c>
      <c r="E212" s="7" t="s">
        <v>131</v>
      </c>
      <c r="F212" s="22" t="n">
        <f aca="false">N197</f>
        <v>1760110.448</v>
      </c>
      <c r="G212" s="25" t="n">
        <f aca="false">'LP Capital Calls'!$H$212</f>
        <v>7280</v>
      </c>
      <c r="H212" s="25" t="n">
        <f aca="false">'Distribution Waterfall'!$L$17*'LP Register'!$F$17</f>
        <v>0</v>
      </c>
      <c r="I212" s="25" t="n">
        <f aca="false">'Distribution Waterfall'!$N$17*'LP Register'!$F$17</f>
        <v>0</v>
      </c>
      <c r="J212" s="25" t="n">
        <f aca="false">'Distribution Waterfall'!$T$17*'LP Register'!$F$17</f>
        <v>0</v>
      </c>
      <c r="K212" s="26" t="n">
        <f aca="false">H212+I212+J212</f>
        <v>0</v>
      </c>
      <c r="L212" s="25" t="n">
        <f aca="false">('NAV Rollforward'!$G$17+'NAV Rollforward'!$H$17-'Mgmt Fee Schedule'!$G$17)*'LP Register'!$F$17</f>
        <v>87144.32928</v>
      </c>
      <c r="M212" s="25" t="n">
        <f aca="false">-('Distribution Waterfall'!$Q$17+'Distribution Waterfall'!$U$17)*'LP Register'!$F$17</f>
        <v>-0</v>
      </c>
      <c r="N212" s="26" t="n">
        <f aca="false">F212+G212-K212+L212+M212</f>
        <v>1854534.77728</v>
      </c>
      <c r="O212" s="7" t="str">
        <f aca="false">B212&amp;"|"&amp;D212</f>
        <v>14|LP-14</v>
      </c>
    </row>
    <row r="213" customFormat="false" ht="15" hidden="false" customHeight="true" outlineLevel="0" collapsed="false">
      <c r="B213" s="7" t="n">
        <v>14</v>
      </c>
      <c r="C213" s="9" t="str">
        <f aca="false">Quarters!$E$17</f>
        <v>Q2 2025</v>
      </c>
      <c r="D213" s="7" t="s">
        <v>132</v>
      </c>
      <c r="E213" s="7" t="s">
        <v>133</v>
      </c>
      <c r="F213" s="22" t="n">
        <f aca="false">N198</f>
        <v>1760110.448</v>
      </c>
      <c r="G213" s="25" t="n">
        <f aca="false">'LP Capital Calls'!$H$213</f>
        <v>7280</v>
      </c>
      <c r="H213" s="25" t="n">
        <f aca="false">'Distribution Waterfall'!$L$17*'LP Register'!$F$18</f>
        <v>0</v>
      </c>
      <c r="I213" s="25" t="n">
        <f aca="false">'Distribution Waterfall'!$N$17*'LP Register'!$F$18</f>
        <v>0</v>
      </c>
      <c r="J213" s="25" t="n">
        <f aca="false">'Distribution Waterfall'!$T$17*'LP Register'!$F$18</f>
        <v>0</v>
      </c>
      <c r="K213" s="26" t="n">
        <f aca="false">H213+I213+J213</f>
        <v>0</v>
      </c>
      <c r="L213" s="25" t="n">
        <f aca="false">('NAV Rollforward'!$G$17+'NAV Rollforward'!$H$17-'Mgmt Fee Schedule'!$G$17)*'LP Register'!$F$18</f>
        <v>87144.32928</v>
      </c>
      <c r="M213" s="25" t="n">
        <f aca="false">-('Distribution Waterfall'!$Q$17+'Distribution Waterfall'!$U$17)*'LP Register'!$F$18</f>
        <v>-0</v>
      </c>
      <c r="N213" s="26" t="n">
        <f aca="false">F213+G213-K213+L213+M213</f>
        <v>1854534.77728</v>
      </c>
      <c r="O213" s="7" t="str">
        <f aca="false">B213&amp;"|"&amp;D213</f>
        <v>14|LP-15</v>
      </c>
    </row>
    <row r="214" customFormat="false" ht="15" hidden="false" customHeight="true" outlineLevel="0" collapsed="false">
      <c r="B214" s="7" t="n">
        <v>15</v>
      </c>
      <c r="C214" s="9" t="str">
        <f aca="false">Quarters!$E$18</f>
        <v>Q3 2025</v>
      </c>
      <c r="D214" s="7" t="s">
        <v>97</v>
      </c>
      <c r="E214" s="7" t="s">
        <v>98</v>
      </c>
      <c r="F214" s="22" t="n">
        <f aca="false">N199</f>
        <v>9272673.8864</v>
      </c>
      <c r="G214" s="25" t="n">
        <f aca="false">'LP Capital Calls'!$H$214</f>
        <v>31600</v>
      </c>
      <c r="H214" s="25" t="n">
        <f aca="false">'Distribution Waterfall'!$L$18*'LP Register'!$F$4</f>
        <v>1758970.4864</v>
      </c>
      <c r="I214" s="25" t="n">
        <f aca="false">'Distribution Waterfall'!$N$18*'LP Register'!$F$4</f>
        <v>0</v>
      </c>
      <c r="J214" s="25" t="n">
        <f aca="false">'Distribution Waterfall'!$T$18*'LP Register'!$F$4</f>
        <v>0</v>
      </c>
      <c r="K214" s="26" t="n">
        <f aca="false">H214+I214+J214</f>
        <v>1758970.4864</v>
      </c>
      <c r="L214" s="25" t="n">
        <f aca="false">('NAV Rollforward'!$G$18+'NAV Rollforward'!$H$18-'Mgmt Fee Schedule'!$G$18)*'LP Register'!$F$4</f>
        <v>426577.816</v>
      </c>
      <c r="M214" s="25" t="n">
        <f aca="false">-('Distribution Waterfall'!$Q$18+'Distribution Waterfall'!$U$18)*'LP Register'!$F$4</f>
        <v>-0</v>
      </c>
      <c r="N214" s="26" t="n">
        <f aca="false">F214+G214-K214+L214+M214</f>
        <v>7971881.216</v>
      </c>
      <c r="O214" s="7" t="str">
        <f aca="false">B214&amp;"|"&amp;D214</f>
        <v>15|LP-01</v>
      </c>
    </row>
    <row r="215" customFormat="false" ht="15" hidden="false" customHeight="true" outlineLevel="0" collapsed="false">
      <c r="B215" s="7" t="n">
        <v>15</v>
      </c>
      <c r="C215" s="9" t="str">
        <f aca="false">Quarters!$E$18</f>
        <v>Q3 2025</v>
      </c>
      <c r="D215" s="7" t="s">
        <v>100</v>
      </c>
      <c r="E215" s="7" t="s">
        <v>101</v>
      </c>
      <c r="F215" s="22" t="n">
        <f aca="false">N200</f>
        <v>6954505.4148</v>
      </c>
      <c r="G215" s="25" t="n">
        <f aca="false">'LP Capital Calls'!$H$215</f>
        <v>23700</v>
      </c>
      <c r="H215" s="25" t="n">
        <f aca="false">'Distribution Waterfall'!$L$18*'LP Register'!$F$5</f>
        <v>1319227.8648</v>
      </c>
      <c r="I215" s="25" t="n">
        <f aca="false">'Distribution Waterfall'!$N$18*'LP Register'!$F$5</f>
        <v>0</v>
      </c>
      <c r="J215" s="25" t="n">
        <f aca="false">'Distribution Waterfall'!$T$18*'LP Register'!$F$5</f>
        <v>0</v>
      </c>
      <c r="K215" s="26" t="n">
        <f aca="false">H215+I215+J215</f>
        <v>1319227.8648</v>
      </c>
      <c r="L215" s="25" t="n">
        <f aca="false">('NAV Rollforward'!$G$18+'NAV Rollforward'!$H$18-'Mgmt Fee Schedule'!$G$18)*'LP Register'!$F$5</f>
        <v>319933.362</v>
      </c>
      <c r="M215" s="25" t="n">
        <f aca="false">-('Distribution Waterfall'!$Q$18+'Distribution Waterfall'!$U$18)*'LP Register'!$F$5</f>
        <v>-0</v>
      </c>
      <c r="N215" s="26" t="n">
        <f aca="false">F215+G215-K215+L215+M215</f>
        <v>5978910.912</v>
      </c>
      <c r="O215" s="7" t="str">
        <f aca="false">B215&amp;"|"&amp;D215</f>
        <v>15|LP-02</v>
      </c>
    </row>
    <row r="216" customFormat="false" ht="15" hidden="false" customHeight="true" outlineLevel="0" collapsed="false">
      <c r="B216" s="7" t="n">
        <v>15</v>
      </c>
      <c r="C216" s="9" t="str">
        <f aca="false">Quarters!$E$18</f>
        <v>Q3 2025</v>
      </c>
      <c r="D216" s="7" t="s">
        <v>103</v>
      </c>
      <c r="E216" s="7" t="s">
        <v>104</v>
      </c>
      <c r="F216" s="22" t="n">
        <f aca="false">N201</f>
        <v>6374963.2969</v>
      </c>
      <c r="G216" s="25" t="n">
        <f aca="false">'LP Capital Calls'!$H$216</f>
        <v>21725</v>
      </c>
      <c r="H216" s="25" t="n">
        <f aca="false">'Distribution Waterfall'!$L$18*'LP Register'!$F$6</f>
        <v>1209292.2094</v>
      </c>
      <c r="I216" s="25" t="n">
        <f aca="false">'Distribution Waterfall'!$N$18*'LP Register'!$F$6</f>
        <v>0</v>
      </c>
      <c r="J216" s="25" t="n">
        <f aca="false">'Distribution Waterfall'!$T$18*'LP Register'!$F$6</f>
        <v>0</v>
      </c>
      <c r="K216" s="26" t="n">
        <f aca="false">H216+I216+J216</f>
        <v>1209292.2094</v>
      </c>
      <c r="L216" s="25" t="n">
        <f aca="false">('NAV Rollforward'!$G$18+'NAV Rollforward'!$H$18-'Mgmt Fee Schedule'!$G$18)*'LP Register'!$F$6</f>
        <v>293272.2485</v>
      </c>
      <c r="M216" s="25" t="n">
        <f aca="false">-('Distribution Waterfall'!$Q$18+'Distribution Waterfall'!$U$18)*'LP Register'!$F$6</f>
        <v>-0</v>
      </c>
      <c r="N216" s="26" t="n">
        <f aca="false">F216+G216-K216+L216+M216</f>
        <v>5480668.336</v>
      </c>
      <c r="O216" s="7" t="str">
        <f aca="false">B216&amp;"|"&amp;D216</f>
        <v>15|LP-03</v>
      </c>
    </row>
    <row r="217" customFormat="false" ht="15" hidden="false" customHeight="true" outlineLevel="0" collapsed="false">
      <c r="B217" s="7" t="n">
        <v>15</v>
      </c>
      <c r="C217" s="9" t="str">
        <f aca="false">Quarters!$E$18</f>
        <v>Q3 2025</v>
      </c>
      <c r="D217" s="7" t="s">
        <v>106</v>
      </c>
      <c r="E217" s="7" t="s">
        <v>107</v>
      </c>
      <c r="F217" s="22" t="n">
        <f aca="false">N202</f>
        <v>5795421.179</v>
      </c>
      <c r="G217" s="25" t="n">
        <f aca="false">'LP Capital Calls'!$H$217</f>
        <v>19750</v>
      </c>
      <c r="H217" s="25" t="n">
        <f aca="false">'Distribution Waterfall'!$L$18*'LP Register'!$F$7</f>
        <v>1099356.554</v>
      </c>
      <c r="I217" s="25" t="n">
        <f aca="false">'Distribution Waterfall'!$N$18*'LP Register'!$F$7</f>
        <v>0</v>
      </c>
      <c r="J217" s="25" t="n">
        <f aca="false">'Distribution Waterfall'!$T$18*'LP Register'!$F$7</f>
        <v>0</v>
      </c>
      <c r="K217" s="26" t="n">
        <f aca="false">H217+I217+J217</f>
        <v>1099356.554</v>
      </c>
      <c r="L217" s="25" t="n">
        <f aca="false">('NAV Rollforward'!$G$18+'NAV Rollforward'!$H$18-'Mgmt Fee Schedule'!$G$18)*'LP Register'!$F$7</f>
        <v>266611.135</v>
      </c>
      <c r="M217" s="25" t="n">
        <f aca="false">-('Distribution Waterfall'!$Q$18+'Distribution Waterfall'!$U$18)*'LP Register'!$F$7</f>
        <v>-0</v>
      </c>
      <c r="N217" s="26" t="n">
        <f aca="false">F217+G217-K217+L217+M217</f>
        <v>4982425.76</v>
      </c>
      <c r="O217" s="7" t="str">
        <f aca="false">B217&amp;"|"&amp;D217</f>
        <v>15|LP-04</v>
      </c>
    </row>
    <row r="218" customFormat="false" ht="15" hidden="false" customHeight="true" outlineLevel="0" collapsed="false">
      <c r="B218" s="7" t="n">
        <v>15</v>
      </c>
      <c r="C218" s="9" t="str">
        <f aca="false">Quarters!$E$18</f>
        <v>Q3 2025</v>
      </c>
      <c r="D218" s="7" t="s">
        <v>109</v>
      </c>
      <c r="E218" s="7" t="s">
        <v>110</v>
      </c>
      <c r="F218" s="22" t="n">
        <f aca="false">N203</f>
        <v>4636336.9432</v>
      </c>
      <c r="G218" s="25" t="n">
        <f aca="false">'LP Capital Calls'!$H$218</f>
        <v>15800</v>
      </c>
      <c r="H218" s="25" t="n">
        <f aca="false">'Distribution Waterfall'!$L$18*'LP Register'!$F$8</f>
        <v>879485.2432</v>
      </c>
      <c r="I218" s="25" t="n">
        <f aca="false">'Distribution Waterfall'!$N$18*'LP Register'!$F$8</f>
        <v>0</v>
      </c>
      <c r="J218" s="25" t="n">
        <f aca="false">'Distribution Waterfall'!$T$18*'LP Register'!$F$8</f>
        <v>0</v>
      </c>
      <c r="K218" s="26" t="n">
        <f aca="false">H218+I218+J218</f>
        <v>879485.2432</v>
      </c>
      <c r="L218" s="25" t="n">
        <f aca="false">('NAV Rollforward'!$G$18+'NAV Rollforward'!$H$18-'Mgmt Fee Schedule'!$G$18)*'LP Register'!$F$8</f>
        <v>213288.908</v>
      </c>
      <c r="M218" s="25" t="n">
        <f aca="false">-('Distribution Waterfall'!$Q$18+'Distribution Waterfall'!$U$18)*'LP Register'!$F$8</f>
        <v>-0</v>
      </c>
      <c r="N218" s="26" t="n">
        <f aca="false">F218+G218-K218+L218+M218</f>
        <v>3985940.608</v>
      </c>
      <c r="O218" s="7" t="str">
        <f aca="false">B218&amp;"|"&amp;D218</f>
        <v>15|LP-05</v>
      </c>
    </row>
    <row r="219" customFormat="false" ht="15" hidden="false" customHeight="true" outlineLevel="0" collapsed="false">
      <c r="B219" s="7" t="n">
        <v>15</v>
      </c>
      <c r="C219" s="9" t="str">
        <f aca="false">Quarters!$E$18</f>
        <v>Q3 2025</v>
      </c>
      <c r="D219" s="7" t="s">
        <v>112</v>
      </c>
      <c r="E219" s="7" t="s">
        <v>113</v>
      </c>
      <c r="F219" s="22" t="n">
        <f aca="false">N204</f>
        <v>4636336.9432</v>
      </c>
      <c r="G219" s="25" t="n">
        <f aca="false">'LP Capital Calls'!$H$219</f>
        <v>15800</v>
      </c>
      <c r="H219" s="25" t="n">
        <f aca="false">'Distribution Waterfall'!$L$18*'LP Register'!$F$9</f>
        <v>879485.2432</v>
      </c>
      <c r="I219" s="25" t="n">
        <f aca="false">'Distribution Waterfall'!$N$18*'LP Register'!$F$9</f>
        <v>0</v>
      </c>
      <c r="J219" s="25" t="n">
        <f aca="false">'Distribution Waterfall'!$T$18*'LP Register'!$F$9</f>
        <v>0</v>
      </c>
      <c r="K219" s="26" t="n">
        <f aca="false">H219+I219+J219</f>
        <v>879485.2432</v>
      </c>
      <c r="L219" s="25" t="n">
        <f aca="false">('NAV Rollforward'!$G$18+'NAV Rollforward'!$H$18-'Mgmt Fee Schedule'!$G$18)*'LP Register'!$F$9</f>
        <v>213288.908</v>
      </c>
      <c r="M219" s="25" t="n">
        <f aca="false">-('Distribution Waterfall'!$Q$18+'Distribution Waterfall'!$U$18)*'LP Register'!$F$9</f>
        <v>-0</v>
      </c>
      <c r="N219" s="26" t="n">
        <f aca="false">F219+G219-K219+L219+M219</f>
        <v>3985940.608</v>
      </c>
      <c r="O219" s="7" t="str">
        <f aca="false">B219&amp;"|"&amp;D219</f>
        <v>15|LP-06</v>
      </c>
    </row>
    <row r="220" customFormat="false" ht="15" hidden="false" customHeight="true" outlineLevel="0" collapsed="false">
      <c r="B220" s="7" t="n">
        <v>15</v>
      </c>
      <c r="C220" s="9" t="str">
        <f aca="false">Quarters!$E$18</f>
        <v>Q3 2025</v>
      </c>
      <c r="D220" s="7" t="s">
        <v>115</v>
      </c>
      <c r="E220" s="7" t="s">
        <v>116</v>
      </c>
      <c r="F220" s="22" t="n">
        <f aca="false">N205</f>
        <v>3477252.7074</v>
      </c>
      <c r="G220" s="25" t="n">
        <f aca="false">'LP Capital Calls'!$H$220</f>
        <v>11850</v>
      </c>
      <c r="H220" s="25" t="n">
        <f aca="false">'Distribution Waterfall'!$L$18*'LP Register'!$F$10</f>
        <v>659613.9324</v>
      </c>
      <c r="I220" s="25" t="n">
        <f aca="false">'Distribution Waterfall'!$N$18*'LP Register'!$F$10</f>
        <v>0</v>
      </c>
      <c r="J220" s="25" t="n">
        <f aca="false">'Distribution Waterfall'!$T$18*'LP Register'!$F$10</f>
        <v>0</v>
      </c>
      <c r="K220" s="26" t="n">
        <f aca="false">H220+I220+J220</f>
        <v>659613.9324</v>
      </c>
      <c r="L220" s="25" t="n">
        <f aca="false">('NAV Rollforward'!$G$18+'NAV Rollforward'!$H$18-'Mgmt Fee Schedule'!$G$18)*'LP Register'!$F$10</f>
        <v>159966.681</v>
      </c>
      <c r="M220" s="25" t="n">
        <f aca="false">-('Distribution Waterfall'!$Q$18+'Distribution Waterfall'!$U$18)*'LP Register'!$F$10</f>
        <v>-0</v>
      </c>
      <c r="N220" s="26" t="n">
        <f aca="false">F220+G220-K220+L220+M220</f>
        <v>2989455.456</v>
      </c>
      <c r="O220" s="7" t="str">
        <f aca="false">B220&amp;"|"&amp;D220</f>
        <v>15|LP-07</v>
      </c>
    </row>
    <row r="221" customFormat="false" ht="15" hidden="false" customHeight="true" outlineLevel="0" collapsed="false">
      <c r="B221" s="7" t="n">
        <v>15</v>
      </c>
      <c r="C221" s="9" t="str">
        <f aca="false">Quarters!$E$18</f>
        <v>Q3 2025</v>
      </c>
      <c r="D221" s="7" t="s">
        <v>117</v>
      </c>
      <c r="E221" s="7" t="s">
        <v>118</v>
      </c>
      <c r="F221" s="22" t="n">
        <f aca="false">N206</f>
        <v>2897710.5895</v>
      </c>
      <c r="G221" s="25" t="n">
        <f aca="false">'LP Capital Calls'!$H$221</f>
        <v>9875</v>
      </c>
      <c r="H221" s="25" t="n">
        <f aca="false">'Distribution Waterfall'!$L$18*'LP Register'!$F$11</f>
        <v>549678.277</v>
      </c>
      <c r="I221" s="25" t="n">
        <f aca="false">'Distribution Waterfall'!$N$18*'LP Register'!$F$11</f>
        <v>0</v>
      </c>
      <c r="J221" s="25" t="n">
        <f aca="false">'Distribution Waterfall'!$T$18*'LP Register'!$F$11</f>
        <v>0</v>
      </c>
      <c r="K221" s="26" t="n">
        <f aca="false">H221+I221+J221</f>
        <v>549678.277</v>
      </c>
      <c r="L221" s="25" t="n">
        <f aca="false">('NAV Rollforward'!$G$18+'NAV Rollforward'!$H$18-'Mgmt Fee Schedule'!$G$18)*'LP Register'!$F$11</f>
        <v>133305.5675</v>
      </c>
      <c r="M221" s="25" t="n">
        <f aca="false">-('Distribution Waterfall'!$Q$18+'Distribution Waterfall'!$U$18)*'LP Register'!$F$11</f>
        <v>-0</v>
      </c>
      <c r="N221" s="26" t="n">
        <f aca="false">F221+G221-K221+L221+M221</f>
        <v>2491212.88</v>
      </c>
      <c r="O221" s="7" t="str">
        <f aca="false">B221&amp;"|"&amp;D221</f>
        <v>15|LP-08</v>
      </c>
    </row>
    <row r="222" customFormat="false" ht="15" hidden="false" customHeight="true" outlineLevel="0" collapsed="false">
      <c r="B222" s="7" t="n">
        <v>15</v>
      </c>
      <c r="C222" s="9" t="str">
        <f aca="false">Quarters!$E$18</f>
        <v>Q3 2025</v>
      </c>
      <c r="D222" s="7" t="s">
        <v>119</v>
      </c>
      <c r="E222" s="7" t="s">
        <v>120</v>
      </c>
      <c r="F222" s="22" t="n">
        <f aca="false">N207</f>
        <v>2318168.4716</v>
      </c>
      <c r="G222" s="25" t="n">
        <f aca="false">'LP Capital Calls'!$H$222</f>
        <v>7900</v>
      </c>
      <c r="H222" s="25" t="n">
        <f aca="false">'Distribution Waterfall'!$L$18*'LP Register'!$F$12</f>
        <v>439742.6216</v>
      </c>
      <c r="I222" s="25" t="n">
        <f aca="false">'Distribution Waterfall'!$N$18*'LP Register'!$F$12</f>
        <v>0</v>
      </c>
      <c r="J222" s="25" t="n">
        <f aca="false">'Distribution Waterfall'!$T$18*'LP Register'!$F$12</f>
        <v>0</v>
      </c>
      <c r="K222" s="26" t="n">
        <f aca="false">H222+I222+J222</f>
        <v>439742.6216</v>
      </c>
      <c r="L222" s="25" t="n">
        <f aca="false">('NAV Rollforward'!$G$18+'NAV Rollforward'!$H$18-'Mgmt Fee Schedule'!$G$18)*'LP Register'!$F$12</f>
        <v>106644.454</v>
      </c>
      <c r="M222" s="25" t="n">
        <f aca="false">-('Distribution Waterfall'!$Q$18+'Distribution Waterfall'!$U$18)*'LP Register'!$F$12</f>
        <v>-0</v>
      </c>
      <c r="N222" s="26" t="n">
        <f aca="false">F222+G222-K222+L222+M222</f>
        <v>1992970.304</v>
      </c>
      <c r="O222" s="7" t="str">
        <f aca="false">B222&amp;"|"&amp;D222</f>
        <v>15|LP-09</v>
      </c>
    </row>
    <row r="223" customFormat="false" ht="15" hidden="false" customHeight="true" outlineLevel="0" collapsed="false">
      <c r="B223" s="7" t="n">
        <v>15</v>
      </c>
      <c r="C223" s="9" t="str">
        <f aca="false">Quarters!$E$18</f>
        <v>Q3 2025</v>
      </c>
      <c r="D223" s="7" t="s">
        <v>121</v>
      </c>
      <c r="E223" s="7" t="s">
        <v>122</v>
      </c>
      <c r="F223" s="22" t="n">
        <f aca="false">N208</f>
        <v>2318168.4716</v>
      </c>
      <c r="G223" s="25" t="n">
        <f aca="false">'LP Capital Calls'!$H$223</f>
        <v>7900</v>
      </c>
      <c r="H223" s="25" t="n">
        <f aca="false">'Distribution Waterfall'!$L$18*'LP Register'!$F$13</f>
        <v>439742.6216</v>
      </c>
      <c r="I223" s="25" t="n">
        <f aca="false">'Distribution Waterfall'!$N$18*'LP Register'!$F$13</f>
        <v>0</v>
      </c>
      <c r="J223" s="25" t="n">
        <f aca="false">'Distribution Waterfall'!$T$18*'LP Register'!$F$13</f>
        <v>0</v>
      </c>
      <c r="K223" s="26" t="n">
        <f aca="false">H223+I223+J223</f>
        <v>439742.6216</v>
      </c>
      <c r="L223" s="25" t="n">
        <f aca="false">('NAV Rollforward'!$G$18+'NAV Rollforward'!$H$18-'Mgmt Fee Schedule'!$G$18)*'LP Register'!$F$13</f>
        <v>106644.454</v>
      </c>
      <c r="M223" s="25" t="n">
        <f aca="false">-('Distribution Waterfall'!$Q$18+'Distribution Waterfall'!$U$18)*'LP Register'!$F$13</f>
        <v>-0</v>
      </c>
      <c r="N223" s="26" t="n">
        <f aca="false">F223+G223-K223+L223+M223</f>
        <v>1992970.304</v>
      </c>
      <c r="O223" s="7" t="str">
        <f aca="false">B223&amp;"|"&amp;D223</f>
        <v>15|LP-10</v>
      </c>
    </row>
    <row r="224" customFormat="false" ht="15" hidden="false" customHeight="true" outlineLevel="0" collapsed="false">
      <c r="B224" s="7" t="n">
        <v>15</v>
      </c>
      <c r="C224" s="9" t="str">
        <f aca="false">Quarters!$E$18</f>
        <v>Q3 2025</v>
      </c>
      <c r="D224" s="7" t="s">
        <v>124</v>
      </c>
      <c r="E224" s="7" t="s">
        <v>125</v>
      </c>
      <c r="F224" s="22" t="n">
        <f aca="false">N209</f>
        <v>2086351.62444</v>
      </c>
      <c r="G224" s="25" t="n">
        <f aca="false">'LP Capital Calls'!$H$224</f>
        <v>7110</v>
      </c>
      <c r="H224" s="25" t="n">
        <f aca="false">'Distribution Waterfall'!$L$18*'LP Register'!$F$14</f>
        <v>395768.35944</v>
      </c>
      <c r="I224" s="25" t="n">
        <f aca="false">'Distribution Waterfall'!$N$18*'LP Register'!$F$14</f>
        <v>0</v>
      </c>
      <c r="J224" s="25" t="n">
        <f aca="false">'Distribution Waterfall'!$T$18*'LP Register'!$F$14</f>
        <v>0</v>
      </c>
      <c r="K224" s="26" t="n">
        <f aca="false">H224+I224+J224</f>
        <v>395768.35944</v>
      </c>
      <c r="L224" s="25" t="n">
        <f aca="false">('NAV Rollforward'!$G$18+'NAV Rollforward'!$H$18-'Mgmt Fee Schedule'!$G$18)*'LP Register'!$F$14</f>
        <v>95980.0086</v>
      </c>
      <c r="M224" s="25" t="n">
        <f aca="false">-('Distribution Waterfall'!$Q$18+'Distribution Waterfall'!$U$18)*'LP Register'!$F$14</f>
        <v>-0</v>
      </c>
      <c r="N224" s="26" t="n">
        <f aca="false">F224+G224-K224+L224+M224</f>
        <v>1793673.2736</v>
      </c>
      <c r="O224" s="7" t="str">
        <f aca="false">B224&amp;"|"&amp;D224</f>
        <v>15|LP-11</v>
      </c>
    </row>
    <row r="225" customFormat="false" ht="15" hidden="false" customHeight="true" outlineLevel="0" collapsed="false">
      <c r="B225" s="7" t="n">
        <v>15</v>
      </c>
      <c r="C225" s="9" t="str">
        <f aca="false">Quarters!$E$18</f>
        <v>Q3 2025</v>
      </c>
      <c r="D225" s="7" t="s">
        <v>126</v>
      </c>
      <c r="E225" s="7" t="s">
        <v>127</v>
      </c>
      <c r="F225" s="22" t="n">
        <f aca="false">N210</f>
        <v>1738626.3537</v>
      </c>
      <c r="G225" s="25" t="n">
        <f aca="false">'LP Capital Calls'!$H$225</f>
        <v>5925</v>
      </c>
      <c r="H225" s="25" t="n">
        <f aca="false">'Distribution Waterfall'!$L$18*'LP Register'!$F$15</f>
        <v>329806.9662</v>
      </c>
      <c r="I225" s="25" t="n">
        <f aca="false">'Distribution Waterfall'!$N$18*'LP Register'!$F$15</f>
        <v>0</v>
      </c>
      <c r="J225" s="25" t="n">
        <f aca="false">'Distribution Waterfall'!$T$18*'LP Register'!$F$15</f>
        <v>0</v>
      </c>
      <c r="K225" s="26" t="n">
        <f aca="false">H225+I225+J225</f>
        <v>329806.9662</v>
      </c>
      <c r="L225" s="25" t="n">
        <f aca="false">('NAV Rollforward'!$G$18+'NAV Rollforward'!$H$18-'Mgmt Fee Schedule'!$G$18)*'LP Register'!$F$15</f>
        <v>79983.3405</v>
      </c>
      <c r="M225" s="25" t="n">
        <f aca="false">-('Distribution Waterfall'!$Q$18+'Distribution Waterfall'!$U$18)*'LP Register'!$F$15</f>
        <v>-0</v>
      </c>
      <c r="N225" s="26" t="n">
        <f aca="false">F225+G225-K225+L225+M225</f>
        <v>1494727.728</v>
      </c>
      <c r="O225" s="7" t="str">
        <f aca="false">B225&amp;"|"&amp;D225</f>
        <v>15|LP-12</v>
      </c>
    </row>
    <row r="226" customFormat="false" ht="15" hidden="false" customHeight="true" outlineLevel="0" collapsed="false">
      <c r="B226" s="7" t="n">
        <v>15</v>
      </c>
      <c r="C226" s="9" t="str">
        <f aca="false">Quarters!$E$18</f>
        <v>Q3 2025</v>
      </c>
      <c r="D226" s="7" t="s">
        <v>128</v>
      </c>
      <c r="E226" s="7" t="s">
        <v>129</v>
      </c>
      <c r="F226" s="22" t="n">
        <f aca="false">N211</f>
        <v>1738626.3537</v>
      </c>
      <c r="G226" s="25" t="n">
        <f aca="false">'LP Capital Calls'!$H$226</f>
        <v>5925</v>
      </c>
      <c r="H226" s="25" t="n">
        <f aca="false">'Distribution Waterfall'!$L$18*'LP Register'!$F$16</f>
        <v>329806.9662</v>
      </c>
      <c r="I226" s="25" t="n">
        <f aca="false">'Distribution Waterfall'!$N$18*'LP Register'!$F$16</f>
        <v>0</v>
      </c>
      <c r="J226" s="25" t="n">
        <f aca="false">'Distribution Waterfall'!$T$18*'LP Register'!$F$16</f>
        <v>0</v>
      </c>
      <c r="K226" s="26" t="n">
        <f aca="false">H226+I226+J226</f>
        <v>329806.9662</v>
      </c>
      <c r="L226" s="25" t="n">
        <f aca="false">('NAV Rollforward'!$G$18+'NAV Rollforward'!$H$18-'Mgmt Fee Schedule'!$G$18)*'LP Register'!$F$16</f>
        <v>79983.3405</v>
      </c>
      <c r="M226" s="25" t="n">
        <f aca="false">-('Distribution Waterfall'!$Q$18+'Distribution Waterfall'!$U$18)*'LP Register'!$F$16</f>
        <v>-0</v>
      </c>
      <c r="N226" s="26" t="n">
        <f aca="false">F226+G226-K226+L226+M226</f>
        <v>1494727.728</v>
      </c>
      <c r="O226" s="7" t="str">
        <f aca="false">B226&amp;"|"&amp;D226</f>
        <v>15|LP-13</v>
      </c>
    </row>
    <row r="227" customFormat="false" ht="15" hidden="false" customHeight="true" outlineLevel="0" collapsed="false">
      <c r="B227" s="7" t="n">
        <v>15</v>
      </c>
      <c r="C227" s="9" t="str">
        <f aca="false">Quarters!$E$18</f>
        <v>Q3 2025</v>
      </c>
      <c r="D227" s="7" t="s">
        <v>130</v>
      </c>
      <c r="E227" s="7" t="s">
        <v>131</v>
      </c>
      <c r="F227" s="22" t="n">
        <f aca="false">N212</f>
        <v>1854534.77728</v>
      </c>
      <c r="G227" s="25" t="n">
        <f aca="false">'LP Capital Calls'!$H$227</f>
        <v>6320</v>
      </c>
      <c r="H227" s="25" t="n">
        <f aca="false">'Distribution Waterfall'!$L$18*'LP Register'!$F$17</f>
        <v>351794.09728</v>
      </c>
      <c r="I227" s="25" t="n">
        <f aca="false">'Distribution Waterfall'!$N$18*'LP Register'!$F$17</f>
        <v>0</v>
      </c>
      <c r="J227" s="25" t="n">
        <f aca="false">'Distribution Waterfall'!$T$18*'LP Register'!$F$17</f>
        <v>0</v>
      </c>
      <c r="K227" s="26" t="n">
        <f aca="false">H227+I227+J227</f>
        <v>351794.09728</v>
      </c>
      <c r="L227" s="25" t="n">
        <f aca="false">('NAV Rollforward'!$G$18+'NAV Rollforward'!$H$18-'Mgmt Fee Schedule'!$G$18)*'LP Register'!$F$17</f>
        <v>85315.5632000001</v>
      </c>
      <c r="M227" s="25" t="n">
        <f aca="false">-('Distribution Waterfall'!$Q$18+'Distribution Waterfall'!$U$18)*'LP Register'!$F$17</f>
        <v>-0</v>
      </c>
      <c r="N227" s="26" t="n">
        <f aca="false">F227+G227-K227+L227+M227</f>
        <v>1594376.2432</v>
      </c>
      <c r="O227" s="7" t="str">
        <f aca="false">B227&amp;"|"&amp;D227</f>
        <v>15|LP-14</v>
      </c>
    </row>
    <row r="228" customFormat="false" ht="15" hidden="false" customHeight="true" outlineLevel="0" collapsed="false">
      <c r="B228" s="7" t="n">
        <v>15</v>
      </c>
      <c r="C228" s="9" t="str">
        <f aca="false">Quarters!$E$18</f>
        <v>Q3 2025</v>
      </c>
      <c r="D228" s="7" t="s">
        <v>132</v>
      </c>
      <c r="E228" s="7" t="s">
        <v>133</v>
      </c>
      <c r="F228" s="22" t="n">
        <f aca="false">N213</f>
        <v>1854534.77728</v>
      </c>
      <c r="G228" s="25" t="n">
        <f aca="false">'LP Capital Calls'!$H$228</f>
        <v>6320</v>
      </c>
      <c r="H228" s="25" t="n">
        <f aca="false">'Distribution Waterfall'!$L$18*'LP Register'!$F$18</f>
        <v>351794.09728</v>
      </c>
      <c r="I228" s="25" t="n">
        <f aca="false">'Distribution Waterfall'!$N$18*'LP Register'!$F$18</f>
        <v>0</v>
      </c>
      <c r="J228" s="25" t="n">
        <f aca="false">'Distribution Waterfall'!$T$18*'LP Register'!$F$18</f>
        <v>0</v>
      </c>
      <c r="K228" s="26" t="n">
        <f aca="false">H228+I228+J228</f>
        <v>351794.09728</v>
      </c>
      <c r="L228" s="25" t="n">
        <f aca="false">('NAV Rollforward'!$G$18+'NAV Rollforward'!$H$18-'Mgmt Fee Schedule'!$G$18)*'LP Register'!$F$18</f>
        <v>85315.5632000001</v>
      </c>
      <c r="M228" s="25" t="n">
        <f aca="false">-('Distribution Waterfall'!$Q$18+'Distribution Waterfall'!$U$18)*'LP Register'!$F$18</f>
        <v>-0</v>
      </c>
      <c r="N228" s="26" t="n">
        <f aca="false">F228+G228-K228+L228+M228</f>
        <v>1594376.2432</v>
      </c>
      <c r="O228" s="7" t="str">
        <f aca="false">B228&amp;"|"&amp;D228</f>
        <v>15|LP-15</v>
      </c>
    </row>
    <row r="229" customFormat="false" ht="15" hidden="false" customHeight="true" outlineLevel="0" collapsed="false">
      <c r="B229" s="7" t="n">
        <v>16</v>
      </c>
      <c r="C229" s="9" t="str">
        <f aca="false">Quarters!$E$19</f>
        <v>Q4 2025</v>
      </c>
      <c r="D229" s="7" t="s">
        <v>97</v>
      </c>
      <c r="E229" s="7" t="s">
        <v>98</v>
      </c>
      <c r="F229" s="22" t="n">
        <f aca="false">N214</f>
        <v>7971881.216</v>
      </c>
      <c r="G229" s="25" t="n">
        <f aca="false">'LP Capital Calls'!$H$229</f>
        <v>31600</v>
      </c>
      <c r="H229" s="25" t="n">
        <f aca="false">'Distribution Waterfall'!$L$19*'LP Register'!$F$4</f>
        <v>0</v>
      </c>
      <c r="I229" s="25" t="n">
        <f aca="false">'Distribution Waterfall'!$N$19*'LP Register'!$F$4</f>
        <v>0</v>
      </c>
      <c r="J229" s="25" t="n">
        <f aca="false">'Distribution Waterfall'!$T$19*'LP Register'!$F$4</f>
        <v>0</v>
      </c>
      <c r="K229" s="26" t="n">
        <f aca="false">H229+I229+J229</f>
        <v>0</v>
      </c>
      <c r="L229" s="25" t="n">
        <f aca="false">('NAV Rollforward'!$G$19+'NAV Rollforward'!$H$19-'Mgmt Fee Schedule'!$G$19)*'LP Register'!$F$4</f>
        <v>348905.9888</v>
      </c>
      <c r="M229" s="25" t="n">
        <f aca="false">-('Distribution Waterfall'!$Q$19+'Distribution Waterfall'!$U$19)*'LP Register'!$F$4</f>
        <v>-0</v>
      </c>
      <c r="N229" s="26" t="n">
        <f aca="false">F229+G229-K229+L229+M229</f>
        <v>8352387.2048</v>
      </c>
      <c r="O229" s="7" t="str">
        <f aca="false">B229&amp;"|"&amp;D229</f>
        <v>16|LP-01</v>
      </c>
    </row>
    <row r="230" customFormat="false" ht="15" hidden="false" customHeight="true" outlineLevel="0" collapsed="false">
      <c r="B230" s="7" t="n">
        <v>16</v>
      </c>
      <c r="C230" s="9" t="str">
        <f aca="false">Quarters!$E$19</f>
        <v>Q4 2025</v>
      </c>
      <c r="D230" s="7" t="s">
        <v>100</v>
      </c>
      <c r="E230" s="7" t="s">
        <v>101</v>
      </c>
      <c r="F230" s="22" t="n">
        <f aca="false">N215</f>
        <v>5978910.912</v>
      </c>
      <c r="G230" s="25" t="n">
        <f aca="false">'LP Capital Calls'!$H$230</f>
        <v>23700</v>
      </c>
      <c r="H230" s="25" t="n">
        <f aca="false">'Distribution Waterfall'!$L$19*'LP Register'!$F$5</f>
        <v>0</v>
      </c>
      <c r="I230" s="25" t="n">
        <f aca="false">'Distribution Waterfall'!$N$19*'LP Register'!$F$5</f>
        <v>0</v>
      </c>
      <c r="J230" s="25" t="n">
        <f aca="false">'Distribution Waterfall'!$T$19*'LP Register'!$F$5</f>
        <v>0</v>
      </c>
      <c r="K230" s="26" t="n">
        <f aca="false">H230+I230+J230</f>
        <v>0</v>
      </c>
      <c r="L230" s="25" t="n">
        <f aca="false">('NAV Rollforward'!$G$19+'NAV Rollforward'!$H$19-'Mgmt Fee Schedule'!$G$19)*'LP Register'!$F$5</f>
        <v>261679.4916</v>
      </c>
      <c r="M230" s="25" t="n">
        <f aca="false">-('Distribution Waterfall'!$Q$19+'Distribution Waterfall'!$U$19)*'LP Register'!$F$5</f>
        <v>-0</v>
      </c>
      <c r="N230" s="26" t="n">
        <f aca="false">F230+G230-K230+L230+M230</f>
        <v>6264290.4036</v>
      </c>
      <c r="O230" s="7" t="str">
        <f aca="false">B230&amp;"|"&amp;D230</f>
        <v>16|LP-02</v>
      </c>
    </row>
    <row r="231" customFormat="false" ht="15" hidden="false" customHeight="true" outlineLevel="0" collapsed="false">
      <c r="B231" s="7" t="n">
        <v>16</v>
      </c>
      <c r="C231" s="9" t="str">
        <f aca="false">Quarters!$E$19</f>
        <v>Q4 2025</v>
      </c>
      <c r="D231" s="7" t="s">
        <v>103</v>
      </c>
      <c r="E231" s="7" t="s">
        <v>104</v>
      </c>
      <c r="F231" s="22" t="n">
        <f aca="false">N216</f>
        <v>5480668.336</v>
      </c>
      <c r="G231" s="25" t="n">
        <f aca="false">'LP Capital Calls'!$H$231</f>
        <v>21725</v>
      </c>
      <c r="H231" s="25" t="n">
        <f aca="false">'Distribution Waterfall'!$L$19*'LP Register'!$F$6</f>
        <v>0</v>
      </c>
      <c r="I231" s="25" t="n">
        <f aca="false">'Distribution Waterfall'!$N$19*'LP Register'!$F$6</f>
        <v>0</v>
      </c>
      <c r="J231" s="25" t="n">
        <f aca="false">'Distribution Waterfall'!$T$19*'LP Register'!$F$6</f>
        <v>0</v>
      </c>
      <c r="K231" s="26" t="n">
        <f aca="false">H231+I231+J231</f>
        <v>0</v>
      </c>
      <c r="L231" s="25" t="n">
        <f aca="false">('NAV Rollforward'!$G$19+'NAV Rollforward'!$H$19-'Mgmt Fee Schedule'!$G$19)*'LP Register'!$F$6</f>
        <v>239872.8673</v>
      </c>
      <c r="M231" s="25" t="n">
        <f aca="false">-('Distribution Waterfall'!$Q$19+'Distribution Waterfall'!$U$19)*'LP Register'!$F$6</f>
        <v>-0</v>
      </c>
      <c r="N231" s="26" t="n">
        <f aca="false">F231+G231-K231+L231+M231</f>
        <v>5742266.2033</v>
      </c>
      <c r="O231" s="7" t="str">
        <f aca="false">B231&amp;"|"&amp;D231</f>
        <v>16|LP-03</v>
      </c>
    </row>
    <row r="232" customFormat="false" ht="15" hidden="false" customHeight="true" outlineLevel="0" collapsed="false">
      <c r="B232" s="7" t="n">
        <v>16</v>
      </c>
      <c r="C232" s="9" t="str">
        <f aca="false">Quarters!$E$19</f>
        <v>Q4 2025</v>
      </c>
      <c r="D232" s="7" t="s">
        <v>106</v>
      </c>
      <c r="E232" s="7" t="s">
        <v>107</v>
      </c>
      <c r="F232" s="22" t="n">
        <f aca="false">N217</f>
        <v>4982425.76</v>
      </c>
      <c r="G232" s="25" t="n">
        <f aca="false">'LP Capital Calls'!$H$232</f>
        <v>19750</v>
      </c>
      <c r="H232" s="25" t="n">
        <f aca="false">'Distribution Waterfall'!$L$19*'LP Register'!$F$7</f>
        <v>0</v>
      </c>
      <c r="I232" s="25" t="n">
        <f aca="false">'Distribution Waterfall'!$N$19*'LP Register'!$F$7</f>
        <v>0</v>
      </c>
      <c r="J232" s="25" t="n">
        <f aca="false">'Distribution Waterfall'!$T$19*'LP Register'!$F$7</f>
        <v>0</v>
      </c>
      <c r="K232" s="26" t="n">
        <f aca="false">H232+I232+J232</f>
        <v>0</v>
      </c>
      <c r="L232" s="25" t="n">
        <f aca="false">('NAV Rollforward'!$G$19+'NAV Rollforward'!$H$19-'Mgmt Fee Schedule'!$G$19)*'LP Register'!$F$7</f>
        <v>218066.243</v>
      </c>
      <c r="M232" s="25" t="n">
        <f aca="false">-('Distribution Waterfall'!$Q$19+'Distribution Waterfall'!$U$19)*'LP Register'!$F$7</f>
        <v>-0</v>
      </c>
      <c r="N232" s="26" t="n">
        <f aca="false">F232+G232-K232+L232+M232</f>
        <v>5220242.003</v>
      </c>
      <c r="O232" s="7" t="str">
        <f aca="false">B232&amp;"|"&amp;D232</f>
        <v>16|LP-04</v>
      </c>
    </row>
    <row r="233" customFormat="false" ht="15" hidden="false" customHeight="true" outlineLevel="0" collapsed="false">
      <c r="B233" s="7" t="n">
        <v>16</v>
      </c>
      <c r="C233" s="9" t="str">
        <f aca="false">Quarters!$E$19</f>
        <v>Q4 2025</v>
      </c>
      <c r="D233" s="7" t="s">
        <v>109</v>
      </c>
      <c r="E233" s="7" t="s">
        <v>110</v>
      </c>
      <c r="F233" s="22" t="n">
        <f aca="false">N218</f>
        <v>3985940.608</v>
      </c>
      <c r="G233" s="25" t="n">
        <f aca="false">'LP Capital Calls'!$H$233</f>
        <v>15800</v>
      </c>
      <c r="H233" s="25" t="n">
        <f aca="false">'Distribution Waterfall'!$L$19*'LP Register'!$F$8</f>
        <v>0</v>
      </c>
      <c r="I233" s="25" t="n">
        <f aca="false">'Distribution Waterfall'!$N$19*'LP Register'!$F$8</f>
        <v>0</v>
      </c>
      <c r="J233" s="25" t="n">
        <f aca="false">'Distribution Waterfall'!$T$19*'LP Register'!$F$8</f>
        <v>0</v>
      </c>
      <c r="K233" s="26" t="n">
        <f aca="false">H233+I233+J233</f>
        <v>0</v>
      </c>
      <c r="L233" s="25" t="n">
        <f aca="false">('NAV Rollforward'!$G$19+'NAV Rollforward'!$H$19-'Mgmt Fee Schedule'!$G$19)*'LP Register'!$F$8</f>
        <v>174452.9944</v>
      </c>
      <c r="M233" s="25" t="n">
        <f aca="false">-('Distribution Waterfall'!$Q$19+'Distribution Waterfall'!$U$19)*'LP Register'!$F$8</f>
        <v>-0</v>
      </c>
      <c r="N233" s="26" t="n">
        <f aca="false">F233+G233-K233+L233+M233</f>
        <v>4176193.6024</v>
      </c>
      <c r="O233" s="7" t="str">
        <f aca="false">B233&amp;"|"&amp;D233</f>
        <v>16|LP-05</v>
      </c>
    </row>
    <row r="234" customFormat="false" ht="15" hidden="false" customHeight="true" outlineLevel="0" collapsed="false">
      <c r="B234" s="7" t="n">
        <v>16</v>
      </c>
      <c r="C234" s="9" t="str">
        <f aca="false">Quarters!$E$19</f>
        <v>Q4 2025</v>
      </c>
      <c r="D234" s="7" t="s">
        <v>112</v>
      </c>
      <c r="E234" s="7" t="s">
        <v>113</v>
      </c>
      <c r="F234" s="22" t="n">
        <f aca="false">N219</f>
        <v>3985940.608</v>
      </c>
      <c r="G234" s="25" t="n">
        <f aca="false">'LP Capital Calls'!$H$234</f>
        <v>15800</v>
      </c>
      <c r="H234" s="25" t="n">
        <f aca="false">'Distribution Waterfall'!$L$19*'LP Register'!$F$9</f>
        <v>0</v>
      </c>
      <c r="I234" s="25" t="n">
        <f aca="false">'Distribution Waterfall'!$N$19*'LP Register'!$F$9</f>
        <v>0</v>
      </c>
      <c r="J234" s="25" t="n">
        <f aca="false">'Distribution Waterfall'!$T$19*'LP Register'!$F$9</f>
        <v>0</v>
      </c>
      <c r="K234" s="26" t="n">
        <f aca="false">H234+I234+J234</f>
        <v>0</v>
      </c>
      <c r="L234" s="25" t="n">
        <f aca="false">('NAV Rollforward'!$G$19+'NAV Rollforward'!$H$19-'Mgmt Fee Schedule'!$G$19)*'LP Register'!$F$9</f>
        <v>174452.9944</v>
      </c>
      <c r="M234" s="25" t="n">
        <f aca="false">-('Distribution Waterfall'!$Q$19+'Distribution Waterfall'!$U$19)*'LP Register'!$F$9</f>
        <v>-0</v>
      </c>
      <c r="N234" s="26" t="n">
        <f aca="false">F234+G234-K234+L234+M234</f>
        <v>4176193.6024</v>
      </c>
      <c r="O234" s="7" t="str">
        <f aca="false">B234&amp;"|"&amp;D234</f>
        <v>16|LP-06</v>
      </c>
    </row>
    <row r="235" customFormat="false" ht="15" hidden="false" customHeight="true" outlineLevel="0" collapsed="false">
      <c r="B235" s="7" t="n">
        <v>16</v>
      </c>
      <c r="C235" s="9" t="str">
        <f aca="false">Quarters!$E$19</f>
        <v>Q4 2025</v>
      </c>
      <c r="D235" s="7" t="s">
        <v>115</v>
      </c>
      <c r="E235" s="7" t="s">
        <v>116</v>
      </c>
      <c r="F235" s="22" t="n">
        <f aca="false">N220</f>
        <v>2989455.456</v>
      </c>
      <c r="G235" s="25" t="n">
        <f aca="false">'LP Capital Calls'!$H$235</f>
        <v>11850</v>
      </c>
      <c r="H235" s="25" t="n">
        <f aca="false">'Distribution Waterfall'!$L$19*'LP Register'!$F$10</f>
        <v>0</v>
      </c>
      <c r="I235" s="25" t="n">
        <f aca="false">'Distribution Waterfall'!$N$19*'LP Register'!$F$10</f>
        <v>0</v>
      </c>
      <c r="J235" s="25" t="n">
        <f aca="false">'Distribution Waterfall'!$T$19*'LP Register'!$F$10</f>
        <v>0</v>
      </c>
      <c r="K235" s="26" t="n">
        <f aca="false">H235+I235+J235</f>
        <v>0</v>
      </c>
      <c r="L235" s="25" t="n">
        <f aca="false">('NAV Rollforward'!$G$19+'NAV Rollforward'!$H$19-'Mgmt Fee Schedule'!$G$19)*'LP Register'!$F$10</f>
        <v>130839.7458</v>
      </c>
      <c r="M235" s="25" t="n">
        <f aca="false">-('Distribution Waterfall'!$Q$19+'Distribution Waterfall'!$U$19)*'LP Register'!$F$10</f>
        <v>-0</v>
      </c>
      <c r="N235" s="26" t="n">
        <f aca="false">F235+G235-K235+L235+M235</f>
        <v>3132145.2018</v>
      </c>
      <c r="O235" s="7" t="str">
        <f aca="false">B235&amp;"|"&amp;D235</f>
        <v>16|LP-07</v>
      </c>
    </row>
    <row r="236" customFormat="false" ht="15" hidden="false" customHeight="true" outlineLevel="0" collapsed="false">
      <c r="B236" s="7" t="n">
        <v>16</v>
      </c>
      <c r="C236" s="9" t="str">
        <f aca="false">Quarters!$E$19</f>
        <v>Q4 2025</v>
      </c>
      <c r="D236" s="7" t="s">
        <v>117</v>
      </c>
      <c r="E236" s="7" t="s">
        <v>118</v>
      </c>
      <c r="F236" s="22" t="n">
        <f aca="false">N221</f>
        <v>2491212.88</v>
      </c>
      <c r="G236" s="25" t="n">
        <f aca="false">'LP Capital Calls'!$H$236</f>
        <v>9875</v>
      </c>
      <c r="H236" s="25" t="n">
        <f aca="false">'Distribution Waterfall'!$L$19*'LP Register'!$F$11</f>
        <v>0</v>
      </c>
      <c r="I236" s="25" t="n">
        <f aca="false">'Distribution Waterfall'!$N$19*'LP Register'!$F$11</f>
        <v>0</v>
      </c>
      <c r="J236" s="25" t="n">
        <f aca="false">'Distribution Waterfall'!$T$19*'LP Register'!$F$11</f>
        <v>0</v>
      </c>
      <c r="K236" s="26" t="n">
        <f aca="false">H236+I236+J236</f>
        <v>0</v>
      </c>
      <c r="L236" s="25" t="n">
        <f aca="false">('NAV Rollforward'!$G$19+'NAV Rollforward'!$H$19-'Mgmt Fee Schedule'!$G$19)*'LP Register'!$F$11</f>
        <v>109033.1215</v>
      </c>
      <c r="M236" s="25" t="n">
        <f aca="false">-('Distribution Waterfall'!$Q$19+'Distribution Waterfall'!$U$19)*'LP Register'!$F$11</f>
        <v>-0</v>
      </c>
      <c r="N236" s="26" t="n">
        <f aca="false">F236+G236-K236+L236+M236</f>
        <v>2610121.0015</v>
      </c>
      <c r="O236" s="7" t="str">
        <f aca="false">B236&amp;"|"&amp;D236</f>
        <v>16|LP-08</v>
      </c>
    </row>
    <row r="237" customFormat="false" ht="15" hidden="false" customHeight="true" outlineLevel="0" collapsed="false">
      <c r="B237" s="7" t="n">
        <v>16</v>
      </c>
      <c r="C237" s="9" t="str">
        <f aca="false">Quarters!$E$19</f>
        <v>Q4 2025</v>
      </c>
      <c r="D237" s="7" t="s">
        <v>119</v>
      </c>
      <c r="E237" s="7" t="s">
        <v>120</v>
      </c>
      <c r="F237" s="22" t="n">
        <f aca="false">N222</f>
        <v>1992970.304</v>
      </c>
      <c r="G237" s="25" t="n">
        <f aca="false">'LP Capital Calls'!$H$237</f>
        <v>7900</v>
      </c>
      <c r="H237" s="25" t="n">
        <f aca="false">'Distribution Waterfall'!$L$19*'LP Register'!$F$12</f>
        <v>0</v>
      </c>
      <c r="I237" s="25" t="n">
        <f aca="false">'Distribution Waterfall'!$N$19*'LP Register'!$F$12</f>
        <v>0</v>
      </c>
      <c r="J237" s="25" t="n">
        <f aca="false">'Distribution Waterfall'!$T$19*'LP Register'!$F$12</f>
        <v>0</v>
      </c>
      <c r="K237" s="26" t="n">
        <f aca="false">H237+I237+J237</f>
        <v>0</v>
      </c>
      <c r="L237" s="25" t="n">
        <f aca="false">('NAV Rollforward'!$G$19+'NAV Rollforward'!$H$19-'Mgmt Fee Schedule'!$G$19)*'LP Register'!$F$12</f>
        <v>87226.4972</v>
      </c>
      <c r="M237" s="25" t="n">
        <f aca="false">-('Distribution Waterfall'!$Q$19+'Distribution Waterfall'!$U$19)*'LP Register'!$F$12</f>
        <v>-0</v>
      </c>
      <c r="N237" s="26" t="n">
        <f aca="false">F237+G237-K237+L237+M237</f>
        <v>2088096.8012</v>
      </c>
      <c r="O237" s="7" t="str">
        <f aca="false">B237&amp;"|"&amp;D237</f>
        <v>16|LP-09</v>
      </c>
    </row>
    <row r="238" customFormat="false" ht="15" hidden="false" customHeight="true" outlineLevel="0" collapsed="false">
      <c r="B238" s="7" t="n">
        <v>16</v>
      </c>
      <c r="C238" s="9" t="str">
        <f aca="false">Quarters!$E$19</f>
        <v>Q4 2025</v>
      </c>
      <c r="D238" s="7" t="s">
        <v>121</v>
      </c>
      <c r="E238" s="7" t="s">
        <v>122</v>
      </c>
      <c r="F238" s="22" t="n">
        <f aca="false">N223</f>
        <v>1992970.304</v>
      </c>
      <c r="G238" s="25" t="n">
        <f aca="false">'LP Capital Calls'!$H$238</f>
        <v>7900</v>
      </c>
      <c r="H238" s="25" t="n">
        <f aca="false">'Distribution Waterfall'!$L$19*'LP Register'!$F$13</f>
        <v>0</v>
      </c>
      <c r="I238" s="25" t="n">
        <f aca="false">'Distribution Waterfall'!$N$19*'LP Register'!$F$13</f>
        <v>0</v>
      </c>
      <c r="J238" s="25" t="n">
        <f aca="false">'Distribution Waterfall'!$T$19*'LP Register'!$F$13</f>
        <v>0</v>
      </c>
      <c r="K238" s="26" t="n">
        <f aca="false">H238+I238+J238</f>
        <v>0</v>
      </c>
      <c r="L238" s="25" t="n">
        <f aca="false">('NAV Rollforward'!$G$19+'NAV Rollforward'!$H$19-'Mgmt Fee Schedule'!$G$19)*'LP Register'!$F$13</f>
        <v>87226.4972</v>
      </c>
      <c r="M238" s="25" t="n">
        <f aca="false">-('Distribution Waterfall'!$Q$19+'Distribution Waterfall'!$U$19)*'LP Register'!$F$13</f>
        <v>-0</v>
      </c>
      <c r="N238" s="26" t="n">
        <f aca="false">F238+G238-K238+L238+M238</f>
        <v>2088096.8012</v>
      </c>
      <c r="O238" s="7" t="str">
        <f aca="false">B238&amp;"|"&amp;D238</f>
        <v>16|LP-10</v>
      </c>
    </row>
    <row r="239" customFormat="false" ht="15" hidden="false" customHeight="true" outlineLevel="0" collapsed="false">
      <c r="B239" s="7" t="n">
        <v>16</v>
      </c>
      <c r="C239" s="9" t="str">
        <f aca="false">Quarters!$E$19</f>
        <v>Q4 2025</v>
      </c>
      <c r="D239" s="7" t="s">
        <v>124</v>
      </c>
      <c r="E239" s="7" t="s">
        <v>125</v>
      </c>
      <c r="F239" s="22" t="n">
        <f aca="false">N224</f>
        <v>1793673.2736</v>
      </c>
      <c r="G239" s="25" t="n">
        <f aca="false">'LP Capital Calls'!$H$239</f>
        <v>7110</v>
      </c>
      <c r="H239" s="25" t="n">
        <f aca="false">'Distribution Waterfall'!$L$19*'LP Register'!$F$14</f>
        <v>0</v>
      </c>
      <c r="I239" s="25" t="n">
        <f aca="false">'Distribution Waterfall'!$N$19*'LP Register'!$F$14</f>
        <v>0</v>
      </c>
      <c r="J239" s="25" t="n">
        <f aca="false">'Distribution Waterfall'!$T$19*'LP Register'!$F$14</f>
        <v>0</v>
      </c>
      <c r="K239" s="26" t="n">
        <f aca="false">H239+I239+J239</f>
        <v>0</v>
      </c>
      <c r="L239" s="25" t="n">
        <f aca="false">('NAV Rollforward'!$G$19+'NAV Rollforward'!$H$19-'Mgmt Fee Schedule'!$G$19)*'LP Register'!$F$14</f>
        <v>78503.84748</v>
      </c>
      <c r="M239" s="25" t="n">
        <f aca="false">-('Distribution Waterfall'!$Q$19+'Distribution Waterfall'!$U$19)*'LP Register'!$F$14</f>
        <v>-0</v>
      </c>
      <c r="N239" s="26" t="n">
        <f aca="false">F239+G239-K239+L239+M239</f>
        <v>1879287.12108</v>
      </c>
      <c r="O239" s="7" t="str">
        <f aca="false">B239&amp;"|"&amp;D239</f>
        <v>16|LP-11</v>
      </c>
    </row>
    <row r="240" customFormat="false" ht="15" hidden="false" customHeight="true" outlineLevel="0" collapsed="false">
      <c r="B240" s="7" t="n">
        <v>16</v>
      </c>
      <c r="C240" s="9" t="str">
        <f aca="false">Quarters!$E$19</f>
        <v>Q4 2025</v>
      </c>
      <c r="D240" s="7" t="s">
        <v>126</v>
      </c>
      <c r="E240" s="7" t="s">
        <v>127</v>
      </c>
      <c r="F240" s="22" t="n">
        <f aca="false">N225</f>
        <v>1494727.728</v>
      </c>
      <c r="G240" s="25" t="n">
        <f aca="false">'LP Capital Calls'!$H$240</f>
        <v>5925</v>
      </c>
      <c r="H240" s="25" t="n">
        <f aca="false">'Distribution Waterfall'!$L$19*'LP Register'!$F$15</f>
        <v>0</v>
      </c>
      <c r="I240" s="25" t="n">
        <f aca="false">'Distribution Waterfall'!$N$19*'LP Register'!$F$15</f>
        <v>0</v>
      </c>
      <c r="J240" s="25" t="n">
        <f aca="false">'Distribution Waterfall'!$T$19*'LP Register'!$F$15</f>
        <v>0</v>
      </c>
      <c r="K240" s="26" t="n">
        <f aca="false">H240+I240+J240</f>
        <v>0</v>
      </c>
      <c r="L240" s="25" t="n">
        <f aca="false">('NAV Rollforward'!$G$19+'NAV Rollforward'!$H$19-'Mgmt Fee Schedule'!$G$19)*'LP Register'!$F$15</f>
        <v>65419.8729</v>
      </c>
      <c r="M240" s="25" t="n">
        <f aca="false">-('Distribution Waterfall'!$Q$19+'Distribution Waterfall'!$U$19)*'LP Register'!$F$15</f>
        <v>-0</v>
      </c>
      <c r="N240" s="26" t="n">
        <f aca="false">F240+G240-K240+L240+M240</f>
        <v>1566072.6009</v>
      </c>
      <c r="O240" s="7" t="str">
        <f aca="false">B240&amp;"|"&amp;D240</f>
        <v>16|LP-12</v>
      </c>
    </row>
    <row r="241" customFormat="false" ht="15" hidden="false" customHeight="true" outlineLevel="0" collapsed="false">
      <c r="B241" s="7" t="n">
        <v>16</v>
      </c>
      <c r="C241" s="9" t="str">
        <f aca="false">Quarters!$E$19</f>
        <v>Q4 2025</v>
      </c>
      <c r="D241" s="7" t="s">
        <v>128</v>
      </c>
      <c r="E241" s="7" t="s">
        <v>129</v>
      </c>
      <c r="F241" s="22" t="n">
        <f aca="false">N226</f>
        <v>1494727.728</v>
      </c>
      <c r="G241" s="25" t="n">
        <f aca="false">'LP Capital Calls'!$H$241</f>
        <v>5925</v>
      </c>
      <c r="H241" s="25" t="n">
        <f aca="false">'Distribution Waterfall'!$L$19*'LP Register'!$F$16</f>
        <v>0</v>
      </c>
      <c r="I241" s="25" t="n">
        <f aca="false">'Distribution Waterfall'!$N$19*'LP Register'!$F$16</f>
        <v>0</v>
      </c>
      <c r="J241" s="25" t="n">
        <f aca="false">'Distribution Waterfall'!$T$19*'LP Register'!$F$16</f>
        <v>0</v>
      </c>
      <c r="K241" s="26" t="n">
        <f aca="false">H241+I241+J241</f>
        <v>0</v>
      </c>
      <c r="L241" s="25" t="n">
        <f aca="false">('NAV Rollforward'!$G$19+'NAV Rollforward'!$H$19-'Mgmt Fee Schedule'!$G$19)*'LP Register'!$F$16</f>
        <v>65419.8729</v>
      </c>
      <c r="M241" s="25" t="n">
        <f aca="false">-('Distribution Waterfall'!$Q$19+'Distribution Waterfall'!$U$19)*'LP Register'!$F$16</f>
        <v>-0</v>
      </c>
      <c r="N241" s="26" t="n">
        <f aca="false">F241+G241-K241+L241+M241</f>
        <v>1566072.6009</v>
      </c>
      <c r="O241" s="7" t="str">
        <f aca="false">B241&amp;"|"&amp;D241</f>
        <v>16|LP-13</v>
      </c>
    </row>
    <row r="242" customFormat="false" ht="15" hidden="false" customHeight="true" outlineLevel="0" collapsed="false">
      <c r="B242" s="7" t="n">
        <v>16</v>
      </c>
      <c r="C242" s="9" t="str">
        <f aca="false">Quarters!$E$19</f>
        <v>Q4 2025</v>
      </c>
      <c r="D242" s="7" t="s">
        <v>130</v>
      </c>
      <c r="E242" s="7" t="s">
        <v>131</v>
      </c>
      <c r="F242" s="22" t="n">
        <f aca="false">N227</f>
        <v>1594376.2432</v>
      </c>
      <c r="G242" s="25" t="n">
        <f aca="false">'LP Capital Calls'!$H$242</f>
        <v>6320</v>
      </c>
      <c r="H242" s="25" t="n">
        <f aca="false">'Distribution Waterfall'!$L$19*'LP Register'!$F$17</f>
        <v>0</v>
      </c>
      <c r="I242" s="25" t="n">
        <f aca="false">'Distribution Waterfall'!$N$19*'LP Register'!$F$17</f>
        <v>0</v>
      </c>
      <c r="J242" s="25" t="n">
        <f aca="false">'Distribution Waterfall'!$T$19*'LP Register'!$F$17</f>
        <v>0</v>
      </c>
      <c r="K242" s="26" t="n">
        <f aca="false">H242+I242+J242</f>
        <v>0</v>
      </c>
      <c r="L242" s="25" t="n">
        <f aca="false">('NAV Rollforward'!$G$19+'NAV Rollforward'!$H$19-'Mgmt Fee Schedule'!$G$19)*'LP Register'!$F$17</f>
        <v>69781.19776</v>
      </c>
      <c r="M242" s="25" t="n">
        <f aca="false">-('Distribution Waterfall'!$Q$19+'Distribution Waterfall'!$U$19)*'LP Register'!$F$17</f>
        <v>-0</v>
      </c>
      <c r="N242" s="26" t="n">
        <f aca="false">F242+G242-K242+L242+M242</f>
        <v>1670477.44096</v>
      </c>
      <c r="O242" s="7" t="str">
        <f aca="false">B242&amp;"|"&amp;D242</f>
        <v>16|LP-14</v>
      </c>
    </row>
    <row r="243" customFormat="false" ht="15" hidden="false" customHeight="true" outlineLevel="0" collapsed="false">
      <c r="B243" s="7" t="n">
        <v>16</v>
      </c>
      <c r="C243" s="9" t="str">
        <f aca="false">Quarters!$E$19</f>
        <v>Q4 2025</v>
      </c>
      <c r="D243" s="7" t="s">
        <v>132</v>
      </c>
      <c r="E243" s="7" t="s">
        <v>133</v>
      </c>
      <c r="F243" s="22" t="n">
        <f aca="false">N228</f>
        <v>1594376.2432</v>
      </c>
      <c r="G243" s="25" t="n">
        <f aca="false">'LP Capital Calls'!$H$243</f>
        <v>6320</v>
      </c>
      <c r="H243" s="25" t="n">
        <f aca="false">'Distribution Waterfall'!$L$19*'LP Register'!$F$18</f>
        <v>0</v>
      </c>
      <c r="I243" s="25" t="n">
        <f aca="false">'Distribution Waterfall'!$N$19*'LP Register'!$F$18</f>
        <v>0</v>
      </c>
      <c r="J243" s="25" t="n">
        <f aca="false">'Distribution Waterfall'!$T$19*'LP Register'!$F$18</f>
        <v>0</v>
      </c>
      <c r="K243" s="26" t="n">
        <f aca="false">H243+I243+J243</f>
        <v>0</v>
      </c>
      <c r="L243" s="25" t="n">
        <f aca="false">('NAV Rollforward'!$G$19+'NAV Rollforward'!$H$19-'Mgmt Fee Schedule'!$G$19)*'LP Register'!$F$18</f>
        <v>69781.19776</v>
      </c>
      <c r="M243" s="25" t="n">
        <f aca="false">-('Distribution Waterfall'!$Q$19+'Distribution Waterfall'!$U$19)*'LP Register'!$F$18</f>
        <v>-0</v>
      </c>
      <c r="N243" s="26" t="n">
        <f aca="false">F243+G243-K243+L243+M243</f>
        <v>1670477.44096</v>
      </c>
      <c r="O243" s="7" t="str">
        <f aca="false">B243&amp;"|"&amp;D243</f>
        <v>16|LP-15</v>
      </c>
    </row>
    <row r="244" customFormat="false" ht="15" hidden="false" customHeight="true" outlineLevel="0" collapsed="false">
      <c r="B244" s="7" t="n">
        <v>17</v>
      </c>
      <c r="C244" s="9" t="str">
        <f aca="false">Quarters!$E$20</f>
        <v>Q1 2026</v>
      </c>
      <c r="D244" s="7" t="s">
        <v>97</v>
      </c>
      <c r="E244" s="7" t="s">
        <v>98</v>
      </c>
      <c r="F244" s="22" t="n">
        <f aca="false">N229</f>
        <v>8352387.2048</v>
      </c>
      <c r="G244" s="25" t="n">
        <f aca="false">'LP Capital Calls'!$H$244</f>
        <v>27200</v>
      </c>
      <c r="H244" s="25" t="n">
        <f aca="false">'Distribution Waterfall'!$L$20*'LP Register'!$F$4</f>
        <v>2368620.5968</v>
      </c>
      <c r="I244" s="25" t="n">
        <f aca="false">'Distribution Waterfall'!$N$20*'LP Register'!$F$4</f>
        <v>0</v>
      </c>
      <c r="J244" s="25" t="n">
        <f aca="false">'Distribution Waterfall'!$T$20*'LP Register'!$F$4</f>
        <v>0</v>
      </c>
      <c r="K244" s="26" t="n">
        <f aca="false">H244+I244+J244</f>
        <v>2368620.5968</v>
      </c>
      <c r="L244" s="25" t="n">
        <f aca="false">('NAV Rollforward'!$G$20+'NAV Rollforward'!$H$20-'Mgmt Fee Schedule'!$G$20)*'LP Register'!$F$4</f>
        <v>419791.510399999</v>
      </c>
      <c r="M244" s="25" t="n">
        <f aca="false">-('Distribution Waterfall'!$Q$20+'Distribution Waterfall'!$U$20)*'LP Register'!$F$4</f>
        <v>-0</v>
      </c>
      <c r="N244" s="26" t="n">
        <f aca="false">F244+G244-K244+L244+M244</f>
        <v>6430758.1184</v>
      </c>
      <c r="O244" s="7" t="str">
        <f aca="false">B244&amp;"|"&amp;D244</f>
        <v>17|LP-01</v>
      </c>
    </row>
    <row r="245" customFormat="false" ht="15" hidden="false" customHeight="true" outlineLevel="0" collapsed="false">
      <c r="B245" s="7" t="n">
        <v>17</v>
      </c>
      <c r="C245" s="9" t="str">
        <f aca="false">Quarters!$E$20</f>
        <v>Q1 2026</v>
      </c>
      <c r="D245" s="7" t="s">
        <v>100</v>
      </c>
      <c r="E245" s="7" t="s">
        <v>101</v>
      </c>
      <c r="F245" s="22" t="n">
        <f aca="false">N230</f>
        <v>6264290.4036</v>
      </c>
      <c r="G245" s="25" t="n">
        <f aca="false">'LP Capital Calls'!$H$245</f>
        <v>20400</v>
      </c>
      <c r="H245" s="25" t="n">
        <f aca="false">'Distribution Waterfall'!$L$20*'LP Register'!$F$5</f>
        <v>1776465.4476</v>
      </c>
      <c r="I245" s="25" t="n">
        <f aca="false">'Distribution Waterfall'!$N$20*'LP Register'!$F$5</f>
        <v>0</v>
      </c>
      <c r="J245" s="25" t="n">
        <f aca="false">'Distribution Waterfall'!$T$20*'LP Register'!$F$5</f>
        <v>0</v>
      </c>
      <c r="K245" s="26" t="n">
        <f aca="false">H245+I245+J245</f>
        <v>1776465.4476</v>
      </c>
      <c r="L245" s="25" t="n">
        <f aca="false">('NAV Rollforward'!$G$20+'NAV Rollforward'!$H$20-'Mgmt Fee Schedule'!$G$20)*'LP Register'!$F$5</f>
        <v>314843.632799999</v>
      </c>
      <c r="M245" s="25" t="n">
        <f aca="false">-('Distribution Waterfall'!$Q$20+'Distribution Waterfall'!$U$20)*'LP Register'!$F$5</f>
        <v>-0</v>
      </c>
      <c r="N245" s="26" t="n">
        <f aca="false">F245+G245-K245+L245+M245</f>
        <v>4823068.5888</v>
      </c>
      <c r="O245" s="7" t="str">
        <f aca="false">B245&amp;"|"&amp;D245</f>
        <v>17|LP-02</v>
      </c>
    </row>
    <row r="246" customFormat="false" ht="15" hidden="false" customHeight="true" outlineLevel="0" collapsed="false">
      <c r="B246" s="7" t="n">
        <v>17</v>
      </c>
      <c r="C246" s="9" t="str">
        <f aca="false">Quarters!$E$20</f>
        <v>Q1 2026</v>
      </c>
      <c r="D246" s="7" t="s">
        <v>103</v>
      </c>
      <c r="E246" s="7" t="s">
        <v>104</v>
      </c>
      <c r="F246" s="22" t="n">
        <f aca="false">N231</f>
        <v>5742266.2033</v>
      </c>
      <c r="G246" s="25" t="n">
        <f aca="false">'LP Capital Calls'!$H$246</f>
        <v>18700</v>
      </c>
      <c r="H246" s="25" t="n">
        <f aca="false">'Distribution Waterfall'!$L$20*'LP Register'!$F$6</f>
        <v>1628426.6603</v>
      </c>
      <c r="I246" s="25" t="n">
        <f aca="false">'Distribution Waterfall'!$N$20*'LP Register'!$F$6</f>
        <v>0</v>
      </c>
      <c r="J246" s="25" t="n">
        <f aca="false">'Distribution Waterfall'!$T$20*'LP Register'!$F$6</f>
        <v>0</v>
      </c>
      <c r="K246" s="26" t="n">
        <f aca="false">H246+I246+J246</f>
        <v>1628426.6603</v>
      </c>
      <c r="L246" s="25" t="n">
        <f aca="false">('NAV Rollforward'!$G$20+'NAV Rollforward'!$H$20-'Mgmt Fee Schedule'!$G$20)*'LP Register'!$F$6</f>
        <v>288606.663399999</v>
      </c>
      <c r="M246" s="25" t="n">
        <f aca="false">-('Distribution Waterfall'!$Q$20+'Distribution Waterfall'!$U$20)*'LP Register'!$F$6</f>
        <v>-0</v>
      </c>
      <c r="N246" s="26" t="n">
        <f aca="false">F246+G246-K246+L246+M246</f>
        <v>4421146.2064</v>
      </c>
      <c r="O246" s="7" t="str">
        <f aca="false">B246&amp;"|"&amp;D246</f>
        <v>17|LP-03</v>
      </c>
    </row>
    <row r="247" customFormat="false" ht="15" hidden="false" customHeight="true" outlineLevel="0" collapsed="false">
      <c r="B247" s="7" t="n">
        <v>17</v>
      </c>
      <c r="C247" s="9" t="str">
        <f aca="false">Quarters!$E$20</f>
        <v>Q1 2026</v>
      </c>
      <c r="D247" s="7" t="s">
        <v>106</v>
      </c>
      <c r="E247" s="7" t="s">
        <v>107</v>
      </c>
      <c r="F247" s="22" t="n">
        <f aca="false">N232</f>
        <v>5220242.003</v>
      </c>
      <c r="G247" s="25" t="n">
        <f aca="false">'LP Capital Calls'!$H$247</f>
        <v>17000</v>
      </c>
      <c r="H247" s="25" t="n">
        <f aca="false">'Distribution Waterfall'!$L$20*'LP Register'!$F$7</f>
        <v>1480387.873</v>
      </c>
      <c r="I247" s="25" t="n">
        <f aca="false">'Distribution Waterfall'!$N$20*'LP Register'!$F$7</f>
        <v>0</v>
      </c>
      <c r="J247" s="25" t="n">
        <f aca="false">'Distribution Waterfall'!$T$20*'LP Register'!$F$7</f>
        <v>0</v>
      </c>
      <c r="K247" s="26" t="n">
        <f aca="false">H247+I247+J247</f>
        <v>1480387.873</v>
      </c>
      <c r="L247" s="25" t="n">
        <f aca="false">('NAV Rollforward'!$G$20+'NAV Rollforward'!$H$20-'Mgmt Fee Schedule'!$G$20)*'LP Register'!$F$7</f>
        <v>262369.693999999</v>
      </c>
      <c r="M247" s="25" t="n">
        <f aca="false">-('Distribution Waterfall'!$Q$20+'Distribution Waterfall'!$U$20)*'LP Register'!$F$7</f>
        <v>-0</v>
      </c>
      <c r="N247" s="26" t="n">
        <f aca="false">F247+G247-K247+L247+M247</f>
        <v>4019223.824</v>
      </c>
      <c r="O247" s="7" t="str">
        <f aca="false">B247&amp;"|"&amp;D247</f>
        <v>17|LP-04</v>
      </c>
    </row>
    <row r="248" customFormat="false" ht="15" hidden="false" customHeight="true" outlineLevel="0" collapsed="false">
      <c r="B248" s="7" t="n">
        <v>17</v>
      </c>
      <c r="C248" s="9" t="str">
        <f aca="false">Quarters!$E$20</f>
        <v>Q1 2026</v>
      </c>
      <c r="D248" s="7" t="s">
        <v>109</v>
      </c>
      <c r="E248" s="7" t="s">
        <v>110</v>
      </c>
      <c r="F248" s="22" t="n">
        <f aca="false">N233</f>
        <v>4176193.6024</v>
      </c>
      <c r="G248" s="25" t="n">
        <f aca="false">'LP Capital Calls'!$H$248</f>
        <v>13600</v>
      </c>
      <c r="H248" s="25" t="n">
        <f aca="false">'Distribution Waterfall'!$L$20*'LP Register'!$F$8</f>
        <v>1184310.2984</v>
      </c>
      <c r="I248" s="25" t="n">
        <f aca="false">'Distribution Waterfall'!$N$20*'LP Register'!$F$8</f>
        <v>0</v>
      </c>
      <c r="J248" s="25" t="n">
        <f aca="false">'Distribution Waterfall'!$T$20*'LP Register'!$F$8</f>
        <v>0</v>
      </c>
      <c r="K248" s="26" t="n">
        <f aca="false">H248+I248+J248</f>
        <v>1184310.2984</v>
      </c>
      <c r="L248" s="25" t="n">
        <f aca="false">('NAV Rollforward'!$G$20+'NAV Rollforward'!$H$20-'Mgmt Fee Schedule'!$G$20)*'LP Register'!$F$8</f>
        <v>209895.7552</v>
      </c>
      <c r="M248" s="25" t="n">
        <f aca="false">-('Distribution Waterfall'!$Q$20+'Distribution Waterfall'!$U$20)*'LP Register'!$F$8</f>
        <v>-0</v>
      </c>
      <c r="N248" s="26" t="n">
        <f aca="false">F248+G248-K248+L248+M248</f>
        <v>3215379.0592</v>
      </c>
      <c r="O248" s="7" t="str">
        <f aca="false">B248&amp;"|"&amp;D248</f>
        <v>17|LP-05</v>
      </c>
    </row>
    <row r="249" customFormat="false" ht="15" hidden="false" customHeight="true" outlineLevel="0" collapsed="false">
      <c r="B249" s="7" t="n">
        <v>17</v>
      </c>
      <c r="C249" s="9" t="str">
        <f aca="false">Quarters!$E$20</f>
        <v>Q1 2026</v>
      </c>
      <c r="D249" s="7" t="s">
        <v>112</v>
      </c>
      <c r="E249" s="7" t="s">
        <v>113</v>
      </c>
      <c r="F249" s="22" t="n">
        <f aca="false">N234</f>
        <v>4176193.6024</v>
      </c>
      <c r="G249" s="25" t="n">
        <f aca="false">'LP Capital Calls'!$H$249</f>
        <v>13600</v>
      </c>
      <c r="H249" s="25" t="n">
        <f aca="false">'Distribution Waterfall'!$L$20*'LP Register'!$F$9</f>
        <v>1184310.2984</v>
      </c>
      <c r="I249" s="25" t="n">
        <f aca="false">'Distribution Waterfall'!$N$20*'LP Register'!$F$9</f>
        <v>0</v>
      </c>
      <c r="J249" s="25" t="n">
        <f aca="false">'Distribution Waterfall'!$T$20*'LP Register'!$F$9</f>
        <v>0</v>
      </c>
      <c r="K249" s="26" t="n">
        <f aca="false">H249+I249+J249</f>
        <v>1184310.2984</v>
      </c>
      <c r="L249" s="25" t="n">
        <f aca="false">('NAV Rollforward'!$G$20+'NAV Rollforward'!$H$20-'Mgmt Fee Schedule'!$G$20)*'LP Register'!$F$9</f>
        <v>209895.7552</v>
      </c>
      <c r="M249" s="25" t="n">
        <f aca="false">-('Distribution Waterfall'!$Q$20+'Distribution Waterfall'!$U$20)*'LP Register'!$F$9</f>
        <v>-0</v>
      </c>
      <c r="N249" s="26" t="n">
        <f aca="false">F249+G249-K249+L249+M249</f>
        <v>3215379.0592</v>
      </c>
      <c r="O249" s="7" t="str">
        <f aca="false">B249&amp;"|"&amp;D249</f>
        <v>17|LP-06</v>
      </c>
    </row>
    <row r="250" customFormat="false" ht="15" hidden="false" customHeight="true" outlineLevel="0" collapsed="false">
      <c r="B250" s="7" t="n">
        <v>17</v>
      </c>
      <c r="C250" s="9" t="str">
        <f aca="false">Quarters!$E$20</f>
        <v>Q1 2026</v>
      </c>
      <c r="D250" s="7" t="s">
        <v>115</v>
      </c>
      <c r="E250" s="7" t="s">
        <v>116</v>
      </c>
      <c r="F250" s="22" t="n">
        <f aca="false">N235</f>
        <v>3132145.2018</v>
      </c>
      <c r="G250" s="25" t="n">
        <f aca="false">'LP Capital Calls'!$H$250</f>
        <v>10200</v>
      </c>
      <c r="H250" s="25" t="n">
        <f aca="false">'Distribution Waterfall'!$L$20*'LP Register'!$F$10</f>
        <v>888232.7238</v>
      </c>
      <c r="I250" s="25" t="n">
        <f aca="false">'Distribution Waterfall'!$N$20*'LP Register'!$F$10</f>
        <v>0</v>
      </c>
      <c r="J250" s="25" t="n">
        <f aca="false">'Distribution Waterfall'!$T$20*'LP Register'!$F$10</f>
        <v>0</v>
      </c>
      <c r="K250" s="26" t="n">
        <f aca="false">H250+I250+J250</f>
        <v>888232.7238</v>
      </c>
      <c r="L250" s="25" t="n">
        <f aca="false">('NAV Rollforward'!$G$20+'NAV Rollforward'!$H$20-'Mgmt Fee Schedule'!$G$20)*'LP Register'!$F$10</f>
        <v>157421.8164</v>
      </c>
      <c r="M250" s="25" t="n">
        <f aca="false">-('Distribution Waterfall'!$Q$20+'Distribution Waterfall'!$U$20)*'LP Register'!$F$10</f>
        <v>-0</v>
      </c>
      <c r="N250" s="26" t="n">
        <f aca="false">F250+G250-K250+L250+M250</f>
        <v>2411534.2944</v>
      </c>
      <c r="O250" s="7" t="str">
        <f aca="false">B250&amp;"|"&amp;D250</f>
        <v>17|LP-07</v>
      </c>
    </row>
    <row r="251" customFormat="false" ht="15" hidden="false" customHeight="true" outlineLevel="0" collapsed="false">
      <c r="B251" s="7" t="n">
        <v>17</v>
      </c>
      <c r="C251" s="9" t="str">
        <f aca="false">Quarters!$E$20</f>
        <v>Q1 2026</v>
      </c>
      <c r="D251" s="7" t="s">
        <v>117</v>
      </c>
      <c r="E251" s="7" t="s">
        <v>118</v>
      </c>
      <c r="F251" s="22" t="n">
        <f aca="false">N236</f>
        <v>2610121.0015</v>
      </c>
      <c r="G251" s="25" t="n">
        <f aca="false">'LP Capital Calls'!$H$251</f>
        <v>8500</v>
      </c>
      <c r="H251" s="25" t="n">
        <f aca="false">'Distribution Waterfall'!$L$20*'LP Register'!$F$11</f>
        <v>740193.9365</v>
      </c>
      <c r="I251" s="25" t="n">
        <f aca="false">'Distribution Waterfall'!$N$20*'LP Register'!$F$11</f>
        <v>0</v>
      </c>
      <c r="J251" s="25" t="n">
        <f aca="false">'Distribution Waterfall'!$T$20*'LP Register'!$F$11</f>
        <v>0</v>
      </c>
      <c r="K251" s="26" t="n">
        <f aca="false">H251+I251+J251</f>
        <v>740193.9365</v>
      </c>
      <c r="L251" s="25" t="n">
        <f aca="false">('NAV Rollforward'!$G$20+'NAV Rollforward'!$H$20-'Mgmt Fee Schedule'!$G$20)*'LP Register'!$F$11</f>
        <v>131184.847</v>
      </c>
      <c r="M251" s="25" t="n">
        <f aca="false">-('Distribution Waterfall'!$Q$20+'Distribution Waterfall'!$U$20)*'LP Register'!$F$11</f>
        <v>-0</v>
      </c>
      <c r="N251" s="26" t="n">
        <f aca="false">F251+G251-K251+L251+M251</f>
        <v>2009611.912</v>
      </c>
      <c r="O251" s="7" t="str">
        <f aca="false">B251&amp;"|"&amp;D251</f>
        <v>17|LP-08</v>
      </c>
    </row>
    <row r="252" customFormat="false" ht="15" hidden="false" customHeight="true" outlineLevel="0" collapsed="false">
      <c r="B252" s="7" t="n">
        <v>17</v>
      </c>
      <c r="C252" s="9" t="str">
        <f aca="false">Quarters!$E$20</f>
        <v>Q1 2026</v>
      </c>
      <c r="D252" s="7" t="s">
        <v>119</v>
      </c>
      <c r="E252" s="7" t="s">
        <v>120</v>
      </c>
      <c r="F252" s="22" t="n">
        <f aca="false">N237</f>
        <v>2088096.8012</v>
      </c>
      <c r="G252" s="25" t="n">
        <f aca="false">'LP Capital Calls'!$H$252</f>
        <v>6800</v>
      </c>
      <c r="H252" s="25" t="n">
        <f aca="false">'Distribution Waterfall'!$L$20*'LP Register'!$F$12</f>
        <v>592155.1492</v>
      </c>
      <c r="I252" s="25" t="n">
        <f aca="false">'Distribution Waterfall'!$N$20*'LP Register'!$F$12</f>
        <v>0</v>
      </c>
      <c r="J252" s="25" t="n">
        <f aca="false">'Distribution Waterfall'!$T$20*'LP Register'!$F$12</f>
        <v>0</v>
      </c>
      <c r="K252" s="26" t="n">
        <f aca="false">H252+I252+J252</f>
        <v>592155.1492</v>
      </c>
      <c r="L252" s="25" t="n">
        <f aca="false">('NAV Rollforward'!$G$20+'NAV Rollforward'!$H$20-'Mgmt Fee Schedule'!$G$20)*'LP Register'!$F$12</f>
        <v>104947.8776</v>
      </c>
      <c r="M252" s="25" t="n">
        <f aca="false">-('Distribution Waterfall'!$Q$20+'Distribution Waterfall'!$U$20)*'LP Register'!$F$12</f>
        <v>-0</v>
      </c>
      <c r="N252" s="26" t="n">
        <f aca="false">F252+G252-K252+L252+M252</f>
        <v>1607689.5296</v>
      </c>
      <c r="O252" s="7" t="str">
        <f aca="false">B252&amp;"|"&amp;D252</f>
        <v>17|LP-09</v>
      </c>
    </row>
    <row r="253" customFormat="false" ht="15" hidden="false" customHeight="true" outlineLevel="0" collapsed="false">
      <c r="B253" s="7" t="n">
        <v>17</v>
      </c>
      <c r="C253" s="9" t="str">
        <f aca="false">Quarters!$E$20</f>
        <v>Q1 2026</v>
      </c>
      <c r="D253" s="7" t="s">
        <v>121</v>
      </c>
      <c r="E253" s="7" t="s">
        <v>122</v>
      </c>
      <c r="F253" s="22" t="n">
        <f aca="false">N238</f>
        <v>2088096.8012</v>
      </c>
      <c r="G253" s="25" t="n">
        <f aca="false">'LP Capital Calls'!$H$253</f>
        <v>6800</v>
      </c>
      <c r="H253" s="25" t="n">
        <f aca="false">'Distribution Waterfall'!$L$20*'LP Register'!$F$13</f>
        <v>592155.1492</v>
      </c>
      <c r="I253" s="25" t="n">
        <f aca="false">'Distribution Waterfall'!$N$20*'LP Register'!$F$13</f>
        <v>0</v>
      </c>
      <c r="J253" s="25" t="n">
        <f aca="false">'Distribution Waterfall'!$T$20*'LP Register'!$F$13</f>
        <v>0</v>
      </c>
      <c r="K253" s="26" t="n">
        <f aca="false">H253+I253+J253</f>
        <v>592155.1492</v>
      </c>
      <c r="L253" s="25" t="n">
        <f aca="false">('NAV Rollforward'!$G$20+'NAV Rollforward'!$H$20-'Mgmt Fee Schedule'!$G$20)*'LP Register'!$F$13</f>
        <v>104947.8776</v>
      </c>
      <c r="M253" s="25" t="n">
        <f aca="false">-('Distribution Waterfall'!$Q$20+'Distribution Waterfall'!$U$20)*'LP Register'!$F$13</f>
        <v>-0</v>
      </c>
      <c r="N253" s="26" t="n">
        <f aca="false">F253+G253-K253+L253+M253</f>
        <v>1607689.5296</v>
      </c>
      <c r="O253" s="7" t="str">
        <f aca="false">B253&amp;"|"&amp;D253</f>
        <v>17|LP-10</v>
      </c>
    </row>
    <row r="254" customFormat="false" ht="15" hidden="false" customHeight="true" outlineLevel="0" collapsed="false">
      <c r="B254" s="7" t="n">
        <v>17</v>
      </c>
      <c r="C254" s="9" t="str">
        <f aca="false">Quarters!$E$20</f>
        <v>Q1 2026</v>
      </c>
      <c r="D254" s="7" t="s">
        <v>124</v>
      </c>
      <c r="E254" s="7" t="s">
        <v>125</v>
      </c>
      <c r="F254" s="22" t="n">
        <f aca="false">N239</f>
        <v>1879287.12108</v>
      </c>
      <c r="G254" s="25" t="n">
        <f aca="false">'LP Capital Calls'!$H$254</f>
        <v>6120</v>
      </c>
      <c r="H254" s="25" t="n">
        <f aca="false">'Distribution Waterfall'!$L$20*'LP Register'!$F$14</f>
        <v>532939.63428</v>
      </c>
      <c r="I254" s="25" t="n">
        <f aca="false">'Distribution Waterfall'!$N$20*'LP Register'!$F$14</f>
        <v>0</v>
      </c>
      <c r="J254" s="25" t="n">
        <f aca="false">'Distribution Waterfall'!$T$20*'LP Register'!$F$14</f>
        <v>0</v>
      </c>
      <c r="K254" s="26" t="n">
        <f aca="false">H254+I254+J254</f>
        <v>532939.63428</v>
      </c>
      <c r="L254" s="25" t="n">
        <f aca="false">('NAV Rollforward'!$G$20+'NAV Rollforward'!$H$20-'Mgmt Fee Schedule'!$G$20)*'LP Register'!$F$14</f>
        <v>94453.0898399998</v>
      </c>
      <c r="M254" s="25" t="n">
        <f aca="false">-('Distribution Waterfall'!$Q$20+'Distribution Waterfall'!$U$20)*'LP Register'!$F$14</f>
        <v>-0</v>
      </c>
      <c r="N254" s="26" t="n">
        <f aca="false">F254+G254-K254+L254+M254</f>
        <v>1446920.57664</v>
      </c>
      <c r="O254" s="7" t="str">
        <f aca="false">B254&amp;"|"&amp;D254</f>
        <v>17|LP-11</v>
      </c>
    </row>
    <row r="255" customFormat="false" ht="15" hidden="false" customHeight="true" outlineLevel="0" collapsed="false">
      <c r="B255" s="7" t="n">
        <v>17</v>
      </c>
      <c r="C255" s="9" t="str">
        <f aca="false">Quarters!$E$20</f>
        <v>Q1 2026</v>
      </c>
      <c r="D255" s="7" t="s">
        <v>126</v>
      </c>
      <c r="E255" s="7" t="s">
        <v>127</v>
      </c>
      <c r="F255" s="22" t="n">
        <f aca="false">N240</f>
        <v>1566072.6009</v>
      </c>
      <c r="G255" s="25" t="n">
        <f aca="false">'LP Capital Calls'!$H$255</f>
        <v>5100</v>
      </c>
      <c r="H255" s="25" t="n">
        <f aca="false">'Distribution Waterfall'!$L$20*'LP Register'!$F$15</f>
        <v>444116.3619</v>
      </c>
      <c r="I255" s="25" t="n">
        <f aca="false">'Distribution Waterfall'!$N$20*'LP Register'!$F$15</f>
        <v>0</v>
      </c>
      <c r="J255" s="25" t="n">
        <f aca="false">'Distribution Waterfall'!$T$20*'LP Register'!$F$15</f>
        <v>0</v>
      </c>
      <c r="K255" s="26" t="n">
        <f aca="false">H255+I255+J255</f>
        <v>444116.3619</v>
      </c>
      <c r="L255" s="25" t="n">
        <f aca="false">('NAV Rollforward'!$G$20+'NAV Rollforward'!$H$20-'Mgmt Fee Schedule'!$G$20)*'LP Register'!$F$15</f>
        <v>78710.9081999998</v>
      </c>
      <c r="M255" s="25" t="n">
        <f aca="false">-('Distribution Waterfall'!$Q$20+'Distribution Waterfall'!$U$20)*'LP Register'!$F$15</f>
        <v>-0</v>
      </c>
      <c r="N255" s="26" t="n">
        <f aca="false">F255+G255-K255+L255+M255</f>
        <v>1205767.1472</v>
      </c>
      <c r="O255" s="7" t="str">
        <f aca="false">B255&amp;"|"&amp;D255</f>
        <v>17|LP-12</v>
      </c>
    </row>
    <row r="256" customFormat="false" ht="15" hidden="false" customHeight="true" outlineLevel="0" collapsed="false">
      <c r="B256" s="7" t="n">
        <v>17</v>
      </c>
      <c r="C256" s="9" t="str">
        <f aca="false">Quarters!$E$20</f>
        <v>Q1 2026</v>
      </c>
      <c r="D256" s="7" t="s">
        <v>128</v>
      </c>
      <c r="E256" s="7" t="s">
        <v>129</v>
      </c>
      <c r="F256" s="22" t="n">
        <f aca="false">N241</f>
        <v>1566072.6009</v>
      </c>
      <c r="G256" s="25" t="n">
        <f aca="false">'LP Capital Calls'!$H$256</f>
        <v>5100</v>
      </c>
      <c r="H256" s="25" t="n">
        <f aca="false">'Distribution Waterfall'!$L$20*'LP Register'!$F$16</f>
        <v>444116.3619</v>
      </c>
      <c r="I256" s="25" t="n">
        <f aca="false">'Distribution Waterfall'!$N$20*'LP Register'!$F$16</f>
        <v>0</v>
      </c>
      <c r="J256" s="25" t="n">
        <f aca="false">'Distribution Waterfall'!$T$20*'LP Register'!$F$16</f>
        <v>0</v>
      </c>
      <c r="K256" s="26" t="n">
        <f aca="false">H256+I256+J256</f>
        <v>444116.3619</v>
      </c>
      <c r="L256" s="25" t="n">
        <f aca="false">('NAV Rollforward'!$G$20+'NAV Rollforward'!$H$20-'Mgmt Fee Schedule'!$G$20)*'LP Register'!$F$16</f>
        <v>78710.9081999998</v>
      </c>
      <c r="M256" s="25" t="n">
        <f aca="false">-('Distribution Waterfall'!$Q$20+'Distribution Waterfall'!$U$20)*'LP Register'!$F$16</f>
        <v>-0</v>
      </c>
      <c r="N256" s="26" t="n">
        <f aca="false">F256+G256-K256+L256+M256</f>
        <v>1205767.1472</v>
      </c>
      <c r="O256" s="7" t="str">
        <f aca="false">B256&amp;"|"&amp;D256</f>
        <v>17|LP-13</v>
      </c>
    </row>
    <row r="257" customFormat="false" ht="15" hidden="false" customHeight="true" outlineLevel="0" collapsed="false">
      <c r="B257" s="7" t="n">
        <v>17</v>
      </c>
      <c r="C257" s="9" t="str">
        <f aca="false">Quarters!$E$20</f>
        <v>Q1 2026</v>
      </c>
      <c r="D257" s="7" t="s">
        <v>130</v>
      </c>
      <c r="E257" s="7" t="s">
        <v>131</v>
      </c>
      <c r="F257" s="22" t="n">
        <f aca="false">N242</f>
        <v>1670477.44096</v>
      </c>
      <c r="G257" s="25" t="n">
        <f aca="false">'LP Capital Calls'!$H$257</f>
        <v>5440</v>
      </c>
      <c r="H257" s="25" t="n">
        <f aca="false">'Distribution Waterfall'!$L$20*'LP Register'!$F$17</f>
        <v>473724.11936</v>
      </c>
      <c r="I257" s="25" t="n">
        <f aca="false">'Distribution Waterfall'!$N$20*'LP Register'!$F$17</f>
        <v>0</v>
      </c>
      <c r="J257" s="25" t="n">
        <f aca="false">'Distribution Waterfall'!$T$20*'LP Register'!$F$17</f>
        <v>0</v>
      </c>
      <c r="K257" s="26" t="n">
        <f aca="false">H257+I257+J257</f>
        <v>473724.11936</v>
      </c>
      <c r="L257" s="25" t="n">
        <f aca="false">('NAV Rollforward'!$G$20+'NAV Rollforward'!$H$20-'Mgmt Fee Schedule'!$G$20)*'LP Register'!$F$17</f>
        <v>83958.3020799998</v>
      </c>
      <c r="M257" s="25" t="n">
        <f aca="false">-('Distribution Waterfall'!$Q$20+'Distribution Waterfall'!$U$20)*'LP Register'!$F$17</f>
        <v>-0</v>
      </c>
      <c r="N257" s="26" t="n">
        <f aca="false">F257+G257-K257+L257+M257</f>
        <v>1286151.62368</v>
      </c>
      <c r="O257" s="7" t="str">
        <f aca="false">B257&amp;"|"&amp;D257</f>
        <v>17|LP-14</v>
      </c>
    </row>
    <row r="258" customFormat="false" ht="15" hidden="false" customHeight="true" outlineLevel="0" collapsed="false">
      <c r="B258" s="7" t="n">
        <v>17</v>
      </c>
      <c r="C258" s="9" t="str">
        <f aca="false">Quarters!$E$20</f>
        <v>Q1 2026</v>
      </c>
      <c r="D258" s="7" t="s">
        <v>132</v>
      </c>
      <c r="E258" s="7" t="s">
        <v>133</v>
      </c>
      <c r="F258" s="22" t="n">
        <f aca="false">N243</f>
        <v>1670477.44096</v>
      </c>
      <c r="G258" s="25" t="n">
        <f aca="false">'LP Capital Calls'!$H$258</f>
        <v>5440</v>
      </c>
      <c r="H258" s="25" t="n">
        <f aca="false">'Distribution Waterfall'!$L$20*'LP Register'!$F$18</f>
        <v>473724.11936</v>
      </c>
      <c r="I258" s="25" t="n">
        <f aca="false">'Distribution Waterfall'!$N$20*'LP Register'!$F$18</f>
        <v>0</v>
      </c>
      <c r="J258" s="25" t="n">
        <f aca="false">'Distribution Waterfall'!$T$20*'LP Register'!$F$18</f>
        <v>0</v>
      </c>
      <c r="K258" s="26" t="n">
        <f aca="false">H258+I258+J258</f>
        <v>473724.11936</v>
      </c>
      <c r="L258" s="25" t="n">
        <f aca="false">('NAV Rollforward'!$G$20+'NAV Rollforward'!$H$20-'Mgmt Fee Schedule'!$G$20)*'LP Register'!$F$18</f>
        <v>83958.3020799998</v>
      </c>
      <c r="M258" s="25" t="n">
        <f aca="false">-('Distribution Waterfall'!$Q$20+'Distribution Waterfall'!$U$20)*'LP Register'!$F$18</f>
        <v>-0</v>
      </c>
      <c r="N258" s="26" t="n">
        <f aca="false">F258+G258-K258+L258+M258</f>
        <v>1286151.62368</v>
      </c>
      <c r="O258" s="7" t="str">
        <f aca="false">B258&amp;"|"&amp;D258</f>
        <v>17|LP-15</v>
      </c>
    </row>
    <row r="259" customFormat="false" ht="15" hidden="false" customHeight="true" outlineLevel="0" collapsed="false">
      <c r="B259" s="7" t="n">
        <v>18</v>
      </c>
      <c r="C259" s="9" t="str">
        <f aca="false">Quarters!$E$21</f>
        <v>Q2 2026</v>
      </c>
      <c r="D259" s="7" t="s">
        <v>97</v>
      </c>
      <c r="E259" s="7" t="s">
        <v>98</v>
      </c>
      <c r="F259" s="22" t="n">
        <f aca="false">N244</f>
        <v>6430758.1184</v>
      </c>
      <c r="G259" s="25" t="n">
        <f aca="false">'LP Capital Calls'!$H$259</f>
        <v>27200</v>
      </c>
      <c r="H259" s="25" t="n">
        <f aca="false">'Distribution Waterfall'!$L$21*'LP Register'!$F$4</f>
        <v>716906.9984</v>
      </c>
      <c r="I259" s="25" t="n">
        <f aca="false">'Distribution Waterfall'!$N$21*'LP Register'!$F$4</f>
        <v>1538755.16704</v>
      </c>
      <c r="J259" s="25" t="n">
        <f aca="false">'Distribution Waterfall'!$T$21*'LP Register'!$F$4</f>
        <v>447108.57056</v>
      </c>
      <c r="K259" s="26" t="n">
        <f aca="false">H259+I259+J259</f>
        <v>2702770.736</v>
      </c>
      <c r="L259" s="25" t="n">
        <f aca="false">('NAV Rollforward'!$G$21+'NAV Rollforward'!$H$21-'Mgmt Fee Schedule'!$G$21)*'LP Register'!$F$4</f>
        <v>213402.974400001</v>
      </c>
      <c r="M259" s="25" t="n">
        <f aca="false">-('Distribution Waterfall'!$Q$21+'Distribution Waterfall'!$U$21)*'LP Register'!$F$4</f>
        <v>-496465.9344</v>
      </c>
      <c r="N259" s="26" t="n">
        <f aca="false">F259+G259-K259+L259+M259</f>
        <v>3472124.4224</v>
      </c>
      <c r="O259" s="7" t="str">
        <f aca="false">B259&amp;"|"&amp;D259</f>
        <v>18|LP-01</v>
      </c>
    </row>
    <row r="260" customFormat="false" ht="15" hidden="false" customHeight="true" outlineLevel="0" collapsed="false">
      <c r="B260" s="7" t="n">
        <v>18</v>
      </c>
      <c r="C260" s="9" t="str">
        <f aca="false">Quarters!$E$21</f>
        <v>Q2 2026</v>
      </c>
      <c r="D260" s="7" t="s">
        <v>100</v>
      </c>
      <c r="E260" s="7" t="s">
        <v>101</v>
      </c>
      <c r="F260" s="22" t="n">
        <f aca="false">N245</f>
        <v>4823068.5888</v>
      </c>
      <c r="G260" s="25" t="n">
        <f aca="false">'LP Capital Calls'!$H$260</f>
        <v>20400</v>
      </c>
      <c r="H260" s="25" t="n">
        <f aca="false">'Distribution Waterfall'!$L$21*'LP Register'!$F$5</f>
        <v>537680.2488</v>
      </c>
      <c r="I260" s="25" t="n">
        <f aca="false">'Distribution Waterfall'!$N$21*'LP Register'!$F$5</f>
        <v>1154066.37528</v>
      </c>
      <c r="J260" s="25" t="n">
        <f aca="false">'Distribution Waterfall'!$T$21*'LP Register'!$F$5</f>
        <v>335331.42792</v>
      </c>
      <c r="K260" s="26" t="n">
        <f aca="false">H260+I260+J260</f>
        <v>2027078.052</v>
      </c>
      <c r="L260" s="25" t="n">
        <f aca="false">('NAV Rollforward'!$G$21+'NAV Rollforward'!$H$21-'Mgmt Fee Schedule'!$G$21)*'LP Register'!$F$5</f>
        <v>160052.2308</v>
      </c>
      <c r="M260" s="25" t="n">
        <f aca="false">-('Distribution Waterfall'!$Q$21+'Distribution Waterfall'!$U$21)*'LP Register'!$F$5</f>
        <v>-372349.4508</v>
      </c>
      <c r="N260" s="26" t="n">
        <f aca="false">F260+G260-K260+L260+M260</f>
        <v>2604093.3168</v>
      </c>
      <c r="O260" s="7" t="str">
        <f aca="false">B260&amp;"|"&amp;D260</f>
        <v>18|LP-02</v>
      </c>
    </row>
    <row r="261" customFormat="false" ht="15" hidden="false" customHeight="true" outlineLevel="0" collapsed="false">
      <c r="B261" s="7" t="n">
        <v>18</v>
      </c>
      <c r="C261" s="9" t="str">
        <f aca="false">Quarters!$E$21</f>
        <v>Q2 2026</v>
      </c>
      <c r="D261" s="7" t="s">
        <v>103</v>
      </c>
      <c r="E261" s="7" t="s">
        <v>104</v>
      </c>
      <c r="F261" s="22" t="n">
        <f aca="false">N246</f>
        <v>4421146.2064</v>
      </c>
      <c r="G261" s="25" t="n">
        <f aca="false">'LP Capital Calls'!$H$261</f>
        <v>18700</v>
      </c>
      <c r="H261" s="25" t="n">
        <f aca="false">'Distribution Waterfall'!$L$21*'LP Register'!$F$6</f>
        <v>492873.5614</v>
      </c>
      <c r="I261" s="25" t="n">
        <f aca="false">'Distribution Waterfall'!$N$21*'LP Register'!$F$6</f>
        <v>1057894.17734</v>
      </c>
      <c r="J261" s="25" t="n">
        <f aca="false">'Distribution Waterfall'!$T$21*'LP Register'!$F$6</f>
        <v>307387.14226</v>
      </c>
      <c r="K261" s="26" t="n">
        <f aca="false">H261+I261+J261</f>
        <v>1858154.881</v>
      </c>
      <c r="L261" s="25" t="n">
        <f aca="false">('NAV Rollforward'!$G$21+'NAV Rollforward'!$H$21-'Mgmt Fee Schedule'!$G$21)*'LP Register'!$F$6</f>
        <v>146714.5449</v>
      </c>
      <c r="M261" s="25" t="n">
        <f aca="false">-('Distribution Waterfall'!$Q$21+'Distribution Waterfall'!$U$21)*'LP Register'!$F$6</f>
        <v>-341320.3299</v>
      </c>
      <c r="N261" s="26" t="n">
        <f aca="false">F261+G261-K261+L261+M261</f>
        <v>2387085.5404</v>
      </c>
      <c r="O261" s="7" t="str">
        <f aca="false">B261&amp;"|"&amp;D261</f>
        <v>18|LP-03</v>
      </c>
    </row>
    <row r="262" customFormat="false" ht="15" hidden="false" customHeight="true" outlineLevel="0" collapsed="false">
      <c r="B262" s="7" t="n">
        <v>18</v>
      </c>
      <c r="C262" s="9" t="str">
        <f aca="false">Quarters!$E$21</f>
        <v>Q2 2026</v>
      </c>
      <c r="D262" s="7" t="s">
        <v>106</v>
      </c>
      <c r="E262" s="7" t="s">
        <v>107</v>
      </c>
      <c r="F262" s="22" t="n">
        <f aca="false">N247</f>
        <v>4019223.824</v>
      </c>
      <c r="G262" s="25" t="n">
        <f aca="false">'LP Capital Calls'!$H$262</f>
        <v>17000</v>
      </c>
      <c r="H262" s="25" t="n">
        <f aca="false">'Distribution Waterfall'!$L$21*'LP Register'!$F$7</f>
        <v>448066.874</v>
      </c>
      <c r="I262" s="25" t="n">
        <f aca="false">'Distribution Waterfall'!$N$21*'LP Register'!$F$7</f>
        <v>961721.9794</v>
      </c>
      <c r="J262" s="25" t="n">
        <f aca="false">'Distribution Waterfall'!$T$21*'LP Register'!$F$7</f>
        <v>279442.8566</v>
      </c>
      <c r="K262" s="26" t="n">
        <f aca="false">H262+I262+J262</f>
        <v>1689231.71</v>
      </c>
      <c r="L262" s="25" t="n">
        <f aca="false">('NAV Rollforward'!$G$21+'NAV Rollforward'!$H$21-'Mgmt Fee Schedule'!$G$21)*'LP Register'!$F$7</f>
        <v>133376.859</v>
      </c>
      <c r="M262" s="25" t="n">
        <f aca="false">-('Distribution Waterfall'!$Q$21+'Distribution Waterfall'!$U$21)*'LP Register'!$F$7</f>
        <v>-310291.209</v>
      </c>
      <c r="N262" s="26" t="n">
        <f aca="false">F262+G262-K262+L262+M262</f>
        <v>2170077.764</v>
      </c>
      <c r="O262" s="7" t="str">
        <f aca="false">B262&amp;"|"&amp;D262</f>
        <v>18|LP-04</v>
      </c>
    </row>
    <row r="263" customFormat="false" ht="15" hidden="false" customHeight="true" outlineLevel="0" collapsed="false">
      <c r="B263" s="7" t="n">
        <v>18</v>
      </c>
      <c r="C263" s="9" t="str">
        <f aca="false">Quarters!$E$21</f>
        <v>Q2 2026</v>
      </c>
      <c r="D263" s="7" t="s">
        <v>109</v>
      </c>
      <c r="E263" s="7" t="s">
        <v>110</v>
      </c>
      <c r="F263" s="22" t="n">
        <f aca="false">N248</f>
        <v>3215379.0592</v>
      </c>
      <c r="G263" s="25" t="n">
        <f aca="false">'LP Capital Calls'!$H$263</f>
        <v>13600</v>
      </c>
      <c r="H263" s="25" t="n">
        <f aca="false">'Distribution Waterfall'!$L$21*'LP Register'!$F$8</f>
        <v>358453.4992</v>
      </c>
      <c r="I263" s="25" t="n">
        <f aca="false">'Distribution Waterfall'!$N$21*'LP Register'!$F$8</f>
        <v>769377.58352</v>
      </c>
      <c r="J263" s="25" t="n">
        <f aca="false">'Distribution Waterfall'!$T$21*'LP Register'!$F$8</f>
        <v>223554.28528</v>
      </c>
      <c r="K263" s="26" t="n">
        <f aca="false">H263+I263+J263</f>
        <v>1351385.368</v>
      </c>
      <c r="L263" s="25" t="n">
        <f aca="false">('NAV Rollforward'!$G$21+'NAV Rollforward'!$H$21-'Mgmt Fee Schedule'!$G$21)*'LP Register'!$F$8</f>
        <v>106701.4872</v>
      </c>
      <c r="M263" s="25" t="n">
        <f aca="false">-('Distribution Waterfall'!$Q$21+'Distribution Waterfall'!$U$21)*'LP Register'!$F$8</f>
        <v>-248232.9672</v>
      </c>
      <c r="N263" s="26" t="n">
        <f aca="false">F263+G263-K263+L263+M263</f>
        <v>1736062.2112</v>
      </c>
      <c r="O263" s="7" t="str">
        <f aca="false">B263&amp;"|"&amp;D263</f>
        <v>18|LP-05</v>
      </c>
    </row>
    <row r="264" customFormat="false" ht="15" hidden="false" customHeight="true" outlineLevel="0" collapsed="false">
      <c r="B264" s="7" t="n">
        <v>18</v>
      </c>
      <c r="C264" s="9" t="str">
        <f aca="false">Quarters!$E$21</f>
        <v>Q2 2026</v>
      </c>
      <c r="D264" s="7" t="s">
        <v>112</v>
      </c>
      <c r="E264" s="7" t="s">
        <v>113</v>
      </c>
      <c r="F264" s="22" t="n">
        <f aca="false">N249</f>
        <v>3215379.0592</v>
      </c>
      <c r="G264" s="25" t="n">
        <f aca="false">'LP Capital Calls'!$H$264</f>
        <v>13600</v>
      </c>
      <c r="H264" s="25" t="n">
        <f aca="false">'Distribution Waterfall'!$L$21*'LP Register'!$F$9</f>
        <v>358453.4992</v>
      </c>
      <c r="I264" s="25" t="n">
        <f aca="false">'Distribution Waterfall'!$N$21*'LP Register'!$F$9</f>
        <v>769377.58352</v>
      </c>
      <c r="J264" s="25" t="n">
        <f aca="false">'Distribution Waterfall'!$T$21*'LP Register'!$F$9</f>
        <v>223554.28528</v>
      </c>
      <c r="K264" s="26" t="n">
        <f aca="false">H264+I264+J264</f>
        <v>1351385.368</v>
      </c>
      <c r="L264" s="25" t="n">
        <f aca="false">('NAV Rollforward'!$G$21+'NAV Rollforward'!$H$21-'Mgmt Fee Schedule'!$G$21)*'LP Register'!$F$9</f>
        <v>106701.4872</v>
      </c>
      <c r="M264" s="25" t="n">
        <f aca="false">-('Distribution Waterfall'!$Q$21+'Distribution Waterfall'!$U$21)*'LP Register'!$F$9</f>
        <v>-248232.9672</v>
      </c>
      <c r="N264" s="26" t="n">
        <f aca="false">F264+G264-K264+L264+M264</f>
        <v>1736062.2112</v>
      </c>
      <c r="O264" s="7" t="str">
        <f aca="false">B264&amp;"|"&amp;D264</f>
        <v>18|LP-06</v>
      </c>
    </row>
    <row r="265" customFormat="false" ht="15" hidden="false" customHeight="true" outlineLevel="0" collapsed="false">
      <c r="B265" s="7" t="n">
        <v>18</v>
      </c>
      <c r="C265" s="9" t="str">
        <f aca="false">Quarters!$E$21</f>
        <v>Q2 2026</v>
      </c>
      <c r="D265" s="7" t="s">
        <v>115</v>
      </c>
      <c r="E265" s="7" t="s">
        <v>116</v>
      </c>
      <c r="F265" s="22" t="n">
        <f aca="false">N250</f>
        <v>2411534.2944</v>
      </c>
      <c r="G265" s="25" t="n">
        <f aca="false">'LP Capital Calls'!$H$265</f>
        <v>10200</v>
      </c>
      <c r="H265" s="25" t="n">
        <f aca="false">'Distribution Waterfall'!$L$21*'LP Register'!$F$10</f>
        <v>268840.1244</v>
      </c>
      <c r="I265" s="25" t="n">
        <f aca="false">'Distribution Waterfall'!$N$21*'LP Register'!$F$10</f>
        <v>577033.18764</v>
      </c>
      <c r="J265" s="25" t="n">
        <f aca="false">'Distribution Waterfall'!$T$21*'LP Register'!$F$10</f>
        <v>167665.71396</v>
      </c>
      <c r="K265" s="26" t="n">
        <f aca="false">H265+I265+J265</f>
        <v>1013539.026</v>
      </c>
      <c r="L265" s="25" t="n">
        <f aca="false">('NAV Rollforward'!$G$21+'NAV Rollforward'!$H$21-'Mgmt Fee Schedule'!$G$21)*'LP Register'!$F$10</f>
        <v>80026.1154000002</v>
      </c>
      <c r="M265" s="25" t="n">
        <f aca="false">-('Distribution Waterfall'!$Q$21+'Distribution Waterfall'!$U$21)*'LP Register'!$F$10</f>
        <v>-186174.7254</v>
      </c>
      <c r="N265" s="26" t="n">
        <f aca="false">F265+G265-K265+L265+M265</f>
        <v>1302046.6584</v>
      </c>
      <c r="O265" s="7" t="str">
        <f aca="false">B265&amp;"|"&amp;D265</f>
        <v>18|LP-07</v>
      </c>
    </row>
    <row r="266" customFormat="false" ht="15" hidden="false" customHeight="true" outlineLevel="0" collapsed="false">
      <c r="B266" s="7" t="n">
        <v>18</v>
      </c>
      <c r="C266" s="9" t="str">
        <f aca="false">Quarters!$E$21</f>
        <v>Q2 2026</v>
      </c>
      <c r="D266" s="7" t="s">
        <v>117</v>
      </c>
      <c r="E266" s="7" t="s">
        <v>118</v>
      </c>
      <c r="F266" s="22" t="n">
        <f aca="false">N251</f>
        <v>2009611.912</v>
      </c>
      <c r="G266" s="25" t="n">
        <f aca="false">'LP Capital Calls'!$H$266</f>
        <v>8500</v>
      </c>
      <c r="H266" s="25" t="n">
        <f aca="false">'Distribution Waterfall'!$L$21*'LP Register'!$F$11</f>
        <v>224033.437</v>
      </c>
      <c r="I266" s="25" t="n">
        <f aca="false">'Distribution Waterfall'!$N$21*'LP Register'!$F$11</f>
        <v>480860.9897</v>
      </c>
      <c r="J266" s="25" t="n">
        <f aca="false">'Distribution Waterfall'!$T$21*'LP Register'!$F$11</f>
        <v>139721.4283</v>
      </c>
      <c r="K266" s="26" t="n">
        <f aca="false">H266+I266+J266</f>
        <v>844615.855</v>
      </c>
      <c r="L266" s="25" t="n">
        <f aca="false">('NAV Rollforward'!$G$21+'NAV Rollforward'!$H$21-'Mgmt Fee Schedule'!$G$21)*'LP Register'!$F$11</f>
        <v>66688.4295000002</v>
      </c>
      <c r="M266" s="25" t="n">
        <f aca="false">-('Distribution Waterfall'!$Q$21+'Distribution Waterfall'!$U$21)*'LP Register'!$F$11</f>
        <v>-155145.6045</v>
      </c>
      <c r="N266" s="26" t="n">
        <f aca="false">F266+G266-K266+L266+M266</f>
        <v>1085038.882</v>
      </c>
      <c r="O266" s="7" t="str">
        <f aca="false">B266&amp;"|"&amp;D266</f>
        <v>18|LP-08</v>
      </c>
    </row>
    <row r="267" customFormat="false" ht="15" hidden="false" customHeight="true" outlineLevel="0" collapsed="false">
      <c r="B267" s="7" t="n">
        <v>18</v>
      </c>
      <c r="C267" s="9" t="str">
        <f aca="false">Quarters!$E$21</f>
        <v>Q2 2026</v>
      </c>
      <c r="D267" s="7" t="s">
        <v>119</v>
      </c>
      <c r="E267" s="7" t="s">
        <v>120</v>
      </c>
      <c r="F267" s="22" t="n">
        <f aca="false">N252</f>
        <v>1607689.5296</v>
      </c>
      <c r="G267" s="25" t="n">
        <f aca="false">'LP Capital Calls'!$H$267</f>
        <v>6800</v>
      </c>
      <c r="H267" s="25" t="n">
        <f aca="false">'Distribution Waterfall'!$L$21*'LP Register'!$F$12</f>
        <v>179226.7496</v>
      </c>
      <c r="I267" s="25" t="n">
        <f aca="false">'Distribution Waterfall'!$N$21*'LP Register'!$F$12</f>
        <v>384688.79176</v>
      </c>
      <c r="J267" s="25" t="n">
        <f aca="false">'Distribution Waterfall'!$T$21*'LP Register'!$F$12</f>
        <v>111777.14264</v>
      </c>
      <c r="K267" s="26" t="n">
        <f aca="false">H267+I267+J267</f>
        <v>675692.684</v>
      </c>
      <c r="L267" s="25" t="n">
        <f aca="false">('NAV Rollforward'!$G$21+'NAV Rollforward'!$H$21-'Mgmt Fee Schedule'!$G$21)*'LP Register'!$F$12</f>
        <v>53350.7436000002</v>
      </c>
      <c r="M267" s="25" t="n">
        <f aca="false">-('Distribution Waterfall'!$Q$21+'Distribution Waterfall'!$U$21)*'LP Register'!$F$12</f>
        <v>-124116.4836</v>
      </c>
      <c r="N267" s="26" t="n">
        <f aca="false">F267+G267-K267+L267+M267</f>
        <v>868031.1056</v>
      </c>
      <c r="O267" s="7" t="str">
        <f aca="false">B267&amp;"|"&amp;D267</f>
        <v>18|LP-09</v>
      </c>
    </row>
    <row r="268" customFormat="false" ht="15" hidden="false" customHeight="true" outlineLevel="0" collapsed="false">
      <c r="B268" s="7" t="n">
        <v>18</v>
      </c>
      <c r="C268" s="9" t="str">
        <f aca="false">Quarters!$E$21</f>
        <v>Q2 2026</v>
      </c>
      <c r="D268" s="7" t="s">
        <v>121</v>
      </c>
      <c r="E268" s="7" t="s">
        <v>122</v>
      </c>
      <c r="F268" s="22" t="n">
        <f aca="false">N253</f>
        <v>1607689.5296</v>
      </c>
      <c r="G268" s="25" t="n">
        <f aca="false">'LP Capital Calls'!$H$268</f>
        <v>6800</v>
      </c>
      <c r="H268" s="25" t="n">
        <f aca="false">'Distribution Waterfall'!$L$21*'LP Register'!$F$13</f>
        <v>179226.7496</v>
      </c>
      <c r="I268" s="25" t="n">
        <f aca="false">'Distribution Waterfall'!$N$21*'LP Register'!$F$13</f>
        <v>384688.79176</v>
      </c>
      <c r="J268" s="25" t="n">
        <f aca="false">'Distribution Waterfall'!$T$21*'LP Register'!$F$13</f>
        <v>111777.14264</v>
      </c>
      <c r="K268" s="26" t="n">
        <f aca="false">H268+I268+J268</f>
        <v>675692.684</v>
      </c>
      <c r="L268" s="25" t="n">
        <f aca="false">('NAV Rollforward'!$G$21+'NAV Rollforward'!$H$21-'Mgmt Fee Schedule'!$G$21)*'LP Register'!$F$13</f>
        <v>53350.7436000002</v>
      </c>
      <c r="M268" s="25" t="n">
        <f aca="false">-('Distribution Waterfall'!$Q$21+'Distribution Waterfall'!$U$21)*'LP Register'!$F$13</f>
        <v>-124116.4836</v>
      </c>
      <c r="N268" s="26" t="n">
        <f aca="false">F268+G268-K268+L268+M268</f>
        <v>868031.1056</v>
      </c>
      <c r="O268" s="7" t="str">
        <f aca="false">B268&amp;"|"&amp;D268</f>
        <v>18|LP-10</v>
      </c>
    </row>
    <row r="269" customFormat="false" ht="15" hidden="false" customHeight="true" outlineLevel="0" collapsed="false">
      <c r="B269" s="7" t="n">
        <v>18</v>
      </c>
      <c r="C269" s="9" t="str">
        <f aca="false">Quarters!$E$21</f>
        <v>Q2 2026</v>
      </c>
      <c r="D269" s="7" t="s">
        <v>124</v>
      </c>
      <c r="E269" s="7" t="s">
        <v>125</v>
      </c>
      <c r="F269" s="22" t="n">
        <f aca="false">N254</f>
        <v>1446920.57664</v>
      </c>
      <c r="G269" s="25" t="n">
        <f aca="false">'LP Capital Calls'!$H$269</f>
        <v>6120</v>
      </c>
      <c r="H269" s="25" t="n">
        <f aca="false">'Distribution Waterfall'!$L$21*'LP Register'!$F$14</f>
        <v>161304.07464</v>
      </c>
      <c r="I269" s="25" t="n">
        <f aca="false">'Distribution Waterfall'!$N$21*'LP Register'!$F$14</f>
        <v>346219.912584</v>
      </c>
      <c r="J269" s="25" t="n">
        <f aca="false">'Distribution Waterfall'!$T$21*'LP Register'!$F$14</f>
        <v>100599.428376</v>
      </c>
      <c r="K269" s="26" t="n">
        <f aca="false">H269+I269+J269</f>
        <v>608123.4156</v>
      </c>
      <c r="L269" s="25" t="n">
        <f aca="false">('NAV Rollforward'!$G$21+'NAV Rollforward'!$H$21-'Mgmt Fee Schedule'!$G$21)*'LP Register'!$F$14</f>
        <v>48015.6692400001</v>
      </c>
      <c r="M269" s="25" t="n">
        <f aca="false">-('Distribution Waterfall'!$Q$21+'Distribution Waterfall'!$U$21)*'LP Register'!$F$14</f>
        <v>-111704.83524</v>
      </c>
      <c r="N269" s="26" t="n">
        <f aca="false">F269+G269-K269+L269+M269</f>
        <v>781227.99504</v>
      </c>
      <c r="O269" s="7" t="str">
        <f aca="false">B269&amp;"|"&amp;D269</f>
        <v>18|LP-11</v>
      </c>
    </row>
    <row r="270" customFormat="false" ht="15" hidden="false" customHeight="true" outlineLevel="0" collapsed="false">
      <c r="B270" s="7" t="n">
        <v>18</v>
      </c>
      <c r="C270" s="9" t="str">
        <f aca="false">Quarters!$E$21</f>
        <v>Q2 2026</v>
      </c>
      <c r="D270" s="7" t="s">
        <v>126</v>
      </c>
      <c r="E270" s="7" t="s">
        <v>127</v>
      </c>
      <c r="F270" s="22" t="n">
        <f aca="false">N255</f>
        <v>1205767.1472</v>
      </c>
      <c r="G270" s="25" t="n">
        <f aca="false">'LP Capital Calls'!$H$270</f>
        <v>5100</v>
      </c>
      <c r="H270" s="25" t="n">
        <f aca="false">'Distribution Waterfall'!$L$21*'LP Register'!$F$15</f>
        <v>134420.0622</v>
      </c>
      <c r="I270" s="25" t="n">
        <f aca="false">'Distribution Waterfall'!$N$21*'LP Register'!$F$15</f>
        <v>288516.59382</v>
      </c>
      <c r="J270" s="25" t="n">
        <f aca="false">'Distribution Waterfall'!$T$21*'LP Register'!$F$15</f>
        <v>83832.8569799999</v>
      </c>
      <c r="K270" s="26" t="n">
        <f aca="false">H270+I270+J270</f>
        <v>506769.513</v>
      </c>
      <c r="L270" s="25" t="n">
        <f aca="false">('NAV Rollforward'!$G$21+'NAV Rollforward'!$H$21-'Mgmt Fee Schedule'!$G$21)*'LP Register'!$F$15</f>
        <v>40013.0577000001</v>
      </c>
      <c r="M270" s="25" t="n">
        <f aca="false">-('Distribution Waterfall'!$Q$21+'Distribution Waterfall'!$U$21)*'LP Register'!$F$15</f>
        <v>-93087.3627</v>
      </c>
      <c r="N270" s="26" t="n">
        <f aca="false">F270+G270-K270+L270+M270</f>
        <v>651023.3292</v>
      </c>
      <c r="O270" s="7" t="str">
        <f aca="false">B270&amp;"|"&amp;D270</f>
        <v>18|LP-12</v>
      </c>
    </row>
    <row r="271" customFormat="false" ht="15" hidden="false" customHeight="true" outlineLevel="0" collapsed="false">
      <c r="B271" s="7" t="n">
        <v>18</v>
      </c>
      <c r="C271" s="9" t="str">
        <f aca="false">Quarters!$E$21</f>
        <v>Q2 2026</v>
      </c>
      <c r="D271" s="7" t="s">
        <v>128</v>
      </c>
      <c r="E271" s="7" t="s">
        <v>129</v>
      </c>
      <c r="F271" s="22" t="n">
        <f aca="false">N256</f>
        <v>1205767.1472</v>
      </c>
      <c r="G271" s="25" t="n">
        <f aca="false">'LP Capital Calls'!$H$271</f>
        <v>5100</v>
      </c>
      <c r="H271" s="25" t="n">
        <f aca="false">'Distribution Waterfall'!$L$21*'LP Register'!$F$16</f>
        <v>134420.0622</v>
      </c>
      <c r="I271" s="25" t="n">
        <f aca="false">'Distribution Waterfall'!$N$21*'LP Register'!$F$16</f>
        <v>288516.59382</v>
      </c>
      <c r="J271" s="25" t="n">
        <f aca="false">'Distribution Waterfall'!$T$21*'LP Register'!$F$16</f>
        <v>83832.8569799999</v>
      </c>
      <c r="K271" s="26" t="n">
        <f aca="false">H271+I271+J271</f>
        <v>506769.513</v>
      </c>
      <c r="L271" s="25" t="n">
        <f aca="false">('NAV Rollforward'!$G$21+'NAV Rollforward'!$H$21-'Mgmt Fee Schedule'!$G$21)*'LP Register'!$F$16</f>
        <v>40013.0577000001</v>
      </c>
      <c r="M271" s="25" t="n">
        <f aca="false">-('Distribution Waterfall'!$Q$21+'Distribution Waterfall'!$U$21)*'LP Register'!$F$16</f>
        <v>-93087.3627</v>
      </c>
      <c r="N271" s="26" t="n">
        <f aca="false">F271+G271-K271+L271+M271</f>
        <v>651023.3292</v>
      </c>
      <c r="O271" s="7" t="str">
        <f aca="false">B271&amp;"|"&amp;D271</f>
        <v>18|LP-13</v>
      </c>
    </row>
    <row r="272" customFormat="false" ht="15" hidden="false" customHeight="true" outlineLevel="0" collapsed="false">
      <c r="B272" s="7" t="n">
        <v>18</v>
      </c>
      <c r="C272" s="9" t="str">
        <f aca="false">Quarters!$E$21</f>
        <v>Q2 2026</v>
      </c>
      <c r="D272" s="7" t="s">
        <v>130</v>
      </c>
      <c r="E272" s="7" t="s">
        <v>131</v>
      </c>
      <c r="F272" s="22" t="n">
        <f aca="false">N257</f>
        <v>1286151.62368</v>
      </c>
      <c r="G272" s="25" t="n">
        <f aca="false">'LP Capital Calls'!$H$272</f>
        <v>5440</v>
      </c>
      <c r="H272" s="25" t="n">
        <f aca="false">'Distribution Waterfall'!$L$21*'LP Register'!$F$17</f>
        <v>143381.39968</v>
      </c>
      <c r="I272" s="25" t="n">
        <f aca="false">'Distribution Waterfall'!$N$21*'LP Register'!$F$17</f>
        <v>307751.033408</v>
      </c>
      <c r="J272" s="25" t="n">
        <f aca="false">'Distribution Waterfall'!$T$21*'LP Register'!$F$17</f>
        <v>89421.7141119999</v>
      </c>
      <c r="K272" s="26" t="n">
        <f aca="false">H272+I272+J272</f>
        <v>540554.1472</v>
      </c>
      <c r="L272" s="25" t="n">
        <f aca="false">('NAV Rollforward'!$G$21+'NAV Rollforward'!$H$21-'Mgmt Fee Schedule'!$G$21)*'LP Register'!$F$17</f>
        <v>42680.5948800001</v>
      </c>
      <c r="M272" s="25" t="n">
        <f aca="false">-('Distribution Waterfall'!$Q$21+'Distribution Waterfall'!$U$21)*'LP Register'!$F$17</f>
        <v>-99293.18688</v>
      </c>
      <c r="N272" s="26" t="n">
        <f aca="false">F272+G272-K272+L272+M272</f>
        <v>694424.884479999</v>
      </c>
      <c r="O272" s="7" t="str">
        <f aca="false">B272&amp;"|"&amp;D272</f>
        <v>18|LP-14</v>
      </c>
    </row>
    <row r="273" customFormat="false" ht="15" hidden="false" customHeight="true" outlineLevel="0" collapsed="false">
      <c r="B273" s="7" t="n">
        <v>18</v>
      </c>
      <c r="C273" s="9" t="str">
        <f aca="false">Quarters!$E$21</f>
        <v>Q2 2026</v>
      </c>
      <c r="D273" s="7" t="s">
        <v>132</v>
      </c>
      <c r="E273" s="7" t="s">
        <v>133</v>
      </c>
      <c r="F273" s="22" t="n">
        <f aca="false">N258</f>
        <v>1286151.62368</v>
      </c>
      <c r="G273" s="25" t="n">
        <f aca="false">'LP Capital Calls'!$H$273</f>
        <v>5440</v>
      </c>
      <c r="H273" s="25" t="n">
        <f aca="false">'Distribution Waterfall'!$L$21*'LP Register'!$F$18</f>
        <v>143381.39968</v>
      </c>
      <c r="I273" s="25" t="n">
        <f aca="false">'Distribution Waterfall'!$N$21*'LP Register'!$F$18</f>
        <v>307751.033408</v>
      </c>
      <c r="J273" s="25" t="n">
        <f aca="false">'Distribution Waterfall'!$T$21*'LP Register'!$F$18</f>
        <v>89421.7141119999</v>
      </c>
      <c r="K273" s="26" t="n">
        <f aca="false">H273+I273+J273</f>
        <v>540554.1472</v>
      </c>
      <c r="L273" s="25" t="n">
        <f aca="false">('NAV Rollforward'!$G$21+'NAV Rollforward'!$H$21-'Mgmt Fee Schedule'!$G$21)*'LP Register'!$F$18</f>
        <v>42680.5948800001</v>
      </c>
      <c r="M273" s="25" t="n">
        <f aca="false">-('Distribution Waterfall'!$Q$21+'Distribution Waterfall'!$U$21)*'LP Register'!$F$18</f>
        <v>-99293.18688</v>
      </c>
      <c r="N273" s="26" t="n">
        <f aca="false">F273+G273-K273+L273+M273</f>
        <v>694424.884479999</v>
      </c>
      <c r="O273" s="7" t="str">
        <f aca="false">B273&amp;"|"&amp;D273</f>
        <v>18|LP-15</v>
      </c>
    </row>
    <row r="275" customFormat="false" ht="15" hidden="false" customHeight="true" outlineLevel="0" collapsed="false">
      <c r="C275" s="4" t="s">
        <v>242</v>
      </c>
      <c r="N275" s="26" t="n">
        <f aca="false">SUM(N259:N273)</f>
        <v>21700777.64</v>
      </c>
    </row>
    <row r="276" customFormat="false" ht="15" hidden="false" customHeight="true" outlineLevel="0" collapsed="false">
      <c r="C276" s="7" t="s">
        <v>243</v>
      </c>
      <c r="N276" s="25" t="n">
        <f aca="false">'NAV Rollforward'!$J$21</f>
        <v>21700777.64</v>
      </c>
    </row>
    <row r="277" customFormat="false" ht="15" hidden="false" customHeight="true" outlineLevel="0" collapsed="false">
      <c r="C277" s="7" t="s">
        <v>244</v>
      </c>
      <c r="N277" s="7" t="str">
        <f aca="false">IF(ROUND(N275-N276,2)=0,"OK — ties out","ERROR")</f>
        <v>OK — ties out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4" min="4" style="1" width="15"/>
    <col collapsed="false" customWidth="true" hidden="false" outlineLevel="0" max="5" min="5" style="1" width="13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9" min="8" style="1" width="15"/>
    <col collapsed="false" customWidth="true" hidden="false" outlineLevel="0" max="11" min="10" style="1" width="17"/>
    <col collapsed="false" customWidth="true" hidden="false" outlineLevel="0" max="12" min="12" style="1" width="15"/>
  </cols>
  <sheetData>
    <row r="1" customFormat="false" ht="21.75" hidden="false" customHeight="true" outlineLevel="0" collapsed="false">
      <c r="A1" s="2" t="s">
        <v>245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246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15" hidden="false" customHeight="true" outlineLevel="0" collapsed="false">
      <c r="B4" s="4" t="s">
        <v>247</v>
      </c>
      <c r="C4" s="12" t="s">
        <v>98</v>
      </c>
    </row>
    <row r="5" customFormat="false" ht="15" hidden="false" customHeight="true" outlineLevel="0" collapsed="false">
      <c r="B5" s="7" t="s">
        <v>92</v>
      </c>
      <c r="C5" s="7" t="str">
        <f aca="false">INDEX('LP Register'!$B$4:$B$18,MATCH($C$4,'LP Register'!$C$4:$C$18,0))</f>
        <v>LP-01</v>
      </c>
    </row>
    <row r="6" customFormat="false" ht="15" hidden="false" customHeight="true" outlineLevel="0" collapsed="false">
      <c r="B6" s="7" t="s">
        <v>95</v>
      </c>
      <c r="C6" s="22" t="n">
        <f aca="false">INDEX('LP Register'!$E$4:$E$18,MATCH($C$4,'LP Register'!$C$4:$C$18,0))</f>
        <v>8000000</v>
      </c>
    </row>
    <row r="7" customFormat="false" ht="15" hidden="false" customHeight="true" outlineLevel="0" collapsed="false">
      <c r="B7" s="7" t="s">
        <v>96</v>
      </c>
      <c r="C7" s="19" t="n">
        <f aca="false">INDEX('LP Register'!$F$4:$F$18,MATCH($C$4,'LP Register'!$C$4:$C$18,0))</f>
        <v>0.16</v>
      </c>
    </row>
    <row r="9" customFormat="false" ht="23.25" hidden="false" customHeight="true" outlineLevel="0" collapsed="false">
      <c r="B9" s="15" t="s">
        <v>175</v>
      </c>
      <c r="C9" s="15" t="s">
        <v>69</v>
      </c>
      <c r="D9" s="15" t="s">
        <v>233</v>
      </c>
      <c r="E9" s="15" t="s">
        <v>223</v>
      </c>
      <c r="F9" s="15" t="s">
        <v>248</v>
      </c>
      <c r="G9" s="15" t="s">
        <v>249</v>
      </c>
      <c r="H9" s="15" t="s">
        <v>250</v>
      </c>
      <c r="I9" s="15" t="s">
        <v>251</v>
      </c>
      <c r="J9" s="15" t="s">
        <v>252</v>
      </c>
      <c r="K9" s="15" t="s">
        <v>253</v>
      </c>
      <c r="L9" s="15" t="s">
        <v>240</v>
      </c>
    </row>
    <row r="10" customFormat="false" ht="15" hidden="false" customHeight="true" outlineLevel="0" collapsed="false">
      <c r="B10" s="7" t="n">
        <v>1</v>
      </c>
      <c r="C10" s="9" t="str">
        <f aca="false">Quarters!$E$4</f>
        <v>Q1 2022</v>
      </c>
      <c r="D10" s="25" t="str">
        <f aca="false">INDEX('LP Capital Accounts'!$F$4:$F$273,MATCH(B10&amp;"|"&amp;$C$5,'LP Capital Accounts'!$O$4:$O$273,0))</f>
        <v>0</v>
      </c>
      <c r="E10" s="25" t="n">
        <f aca="false">INDEX('LP Capital Accounts'!$G$4:$G$273,MATCH(B10&amp;"|"&amp;$C$5,'LP Capital Accounts'!$O$4:$O$273,0))</f>
        <v>1000000</v>
      </c>
      <c r="F10" s="25" t="n">
        <f aca="false">INDEX('LP Capital Accounts'!$H$4:$H$273,MATCH(B10&amp;"|"&amp;$C$5,'LP Capital Accounts'!$O$4:$O$273,0))</f>
        <v>0</v>
      </c>
      <c r="G10" s="25" t="n">
        <f aca="false">INDEX('LP Capital Accounts'!$I$4:$I$273,MATCH(B10&amp;"|"&amp;$C$5,'LP Capital Accounts'!$O$4:$O$273,0))</f>
        <v>0</v>
      </c>
      <c r="H10" s="25" t="n">
        <f aca="false">INDEX('LP Capital Accounts'!$J$4:$J$273,MATCH(B10&amp;"|"&amp;$C$5,'LP Capital Accounts'!$O$4:$O$273,0))</f>
        <v>0</v>
      </c>
      <c r="I10" s="25" t="n">
        <f aca="false">INDEX('LP Capital Accounts'!$K$4:$K$273,MATCH(B10&amp;"|"&amp;$C$5,'LP Capital Accounts'!$O$4:$O$273,0))</f>
        <v>0</v>
      </c>
      <c r="J10" s="25" t="n">
        <f aca="false">INDEX('LP Capital Accounts'!$L$4:$L$273,MATCH(B10&amp;"|"&amp;$C$5,'LP Capital Accounts'!$O$4:$O$273,0))</f>
        <v>-40000</v>
      </c>
      <c r="K10" s="25" t="n">
        <f aca="false">INDEX('LP Capital Accounts'!$M$4:$M$273,MATCH(B10&amp;"|"&amp;$C$5,'LP Capital Accounts'!$O$4:$O$273,0))</f>
        <v>-0</v>
      </c>
      <c r="L10" s="25" t="n">
        <f aca="false">INDEX('LP Capital Accounts'!$N$4:$N$273,MATCH(B10&amp;"|"&amp;$C$5,'LP Capital Accounts'!$O$4:$O$273,0))</f>
        <v>960000</v>
      </c>
    </row>
    <row r="11" customFormat="false" ht="15" hidden="false" customHeight="true" outlineLevel="0" collapsed="false">
      <c r="B11" s="7" t="n">
        <v>2</v>
      </c>
      <c r="C11" s="9" t="str">
        <f aca="false">Quarters!$E$5</f>
        <v>Q2 2022</v>
      </c>
      <c r="D11" s="25" t="n">
        <f aca="false">INDEX('LP Capital Accounts'!$F$4:$F$273,MATCH(B11&amp;"|"&amp;$C$5,'LP Capital Accounts'!$O$4:$O$273,0))</f>
        <v>960000</v>
      </c>
      <c r="E11" s="25" t="n">
        <f aca="false">INDEX('LP Capital Accounts'!$G$4:$G$273,MATCH(B11&amp;"|"&amp;$C$5,'LP Capital Accounts'!$O$4:$O$273,0))</f>
        <v>920000</v>
      </c>
      <c r="F11" s="25" t="n">
        <f aca="false">INDEX('LP Capital Accounts'!$H$4:$H$273,MATCH(B11&amp;"|"&amp;$C$5,'LP Capital Accounts'!$O$4:$O$273,0))</f>
        <v>0</v>
      </c>
      <c r="G11" s="25" t="n">
        <f aca="false">INDEX('LP Capital Accounts'!$I$4:$I$273,MATCH(B11&amp;"|"&amp;$C$5,'LP Capital Accounts'!$O$4:$O$273,0))</f>
        <v>0</v>
      </c>
      <c r="H11" s="25" t="n">
        <f aca="false">INDEX('LP Capital Accounts'!$J$4:$J$273,MATCH(B11&amp;"|"&amp;$C$5,'LP Capital Accounts'!$O$4:$O$273,0))</f>
        <v>0</v>
      </c>
      <c r="I11" s="25" t="n">
        <f aca="false">INDEX('LP Capital Accounts'!$K$4:$K$273,MATCH(B11&amp;"|"&amp;$C$5,'LP Capital Accounts'!$O$4:$O$273,0))</f>
        <v>0</v>
      </c>
      <c r="J11" s="25" t="n">
        <f aca="false">INDEX('LP Capital Accounts'!$L$4:$L$273,MATCH(B11&amp;"|"&amp;$C$5,'LP Capital Accounts'!$O$4:$O$273,0))</f>
        <v>65187.9263999999</v>
      </c>
      <c r="K11" s="25" t="n">
        <f aca="false">INDEX('LP Capital Accounts'!$M$4:$M$273,MATCH(B11&amp;"|"&amp;$C$5,'LP Capital Accounts'!$O$4:$O$273,0))</f>
        <v>-0</v>
      </c>
      <c r="L11" s="25" t="n">
        <f aca="false">INDEX('LP Capital Accounts'!$N$4:$N$273,MATCH(B11&amp;"|"&amp;$C$5,'LP Capital Accounts'!$O$4:$O$273,0))</f>
        <v>1945187.9264</v>
      </c>
    </row>
    <row r="12" customFormat="false" ht="15" hidden="false" customHeight="true" outlineLevel="0" collapsed="false">
      <c r="B12" s="7" t="n">
        <v>3</v>
      </c>
      <c r="C12" s="9" t="str">
        <f aca="false">Quarters!$E$6</f>
        <v>Q3 2022</v>
      </c>
      <c r="D12" s="25" t="n">
        <f aca="false">INDEX('LP Capital Accounts'!$F$4:$F$273,MATCH(B12&amp;"|"&amp;$C$5,'LP Capital Accounts'!$O$4:$O$273,0))</f>
        <v>1945187.9264</v>
      </c>
      <c r="E12" s="25" t="n">
        <f aca="false">INDEX('LP Capital Accounts'!$G$4:$G$273,MATCH(B12&amp;"|"&amp;$C$5,'LP Capital Accounts'!$O$4:$O$273,0))</f>
        <v>760000</v>
      </c>
      <c r="F12" s="25" t="n">
        <f aca="false">INDEX('LP Capital Accounts'!$H$4:$H$273,MATCH(B12&amp;"|"&amp;$C$5,'LP Capital Accounts'!$O$4:$O$273,0))</f>
        <v>0</v>
      </c>
      <c r="G12" s="25" t="n">
        <f aca="false">INDEX('LP Capital Accounts'!$I$4:$I$273,MATCH(B12&amp;"|"&amp;$C$5,'LP Capital Accounts'!$O$4:$O$273,0))</f>
        <v>0</v>
      </c>
      <c r="H12" s="25" t="n">
        <f aca="false">INDEX('LP Capital Accounts'!$J$4:$J$273,MATCH(B12&amp;"|"&amp;$C$5,'LP Capital Accounts'!$O$4:$O$273,0))</f>
        <v>0</v>
      </c>
      <c r="I12" s="25" t="n">
        <f aca="false">INDEX('LP Capital Accounts'!$K$4:$K$273,MATCH(B12&amp;"|"&amp;$C$5,'LP Capital Accounts'!$O$4:$O$273,0))</f>
        <v>0</v>
      </c>
      <c r="J12" s="25" t="n">
        <f aca="false">INDEX('LP Capital Accounts'!$L$4:$L$273,MATCH(B12&amp;"|"&amp;$C$5,'LP Capital Accounts'!$O$4:$O$273,0))</f>
        <v>103445.3392</v>
      </c>
      <c r="K12" s="25" t="n">
        <f aca="false">INDEX('LP Capital Accounts'!$M$4:$M$273,MATCH(B12&amp;"|"&amp;$C$5,'LP Capital Accounts'!$O$4:$O$273,0))</f>
        <v>-0</v>
      </c>
      <c r="L12" s="25" t="n">
        <f aca="false">INDEX('LP Capital Accounts'!$N$4:$N$273,MATCH(B12&amp;"|"&amp;$C$5,'LP Capital Accounts'!$O$4:$O$273,0))</f>
        <v>2808633.2656</v>
      </c>
    </row>
    <row r="13" customFormat="false" ht="15" hidden="false" customHeight="true" outlineLevel="0" collapsed="false">
      <c r="B13" s="7" t="n">
        <v>4</v>
      </c>
      <c r="C13" s="9" t="str">
        <f aca="false">Quarters!$E$7</f>
        <v>Q4 2022</v>
      </c>
      <c r="D13" s="25" t="n">
        <f aca="false">INDEX('LP Capital Accounts'!$F$4:$F$273,MATCH(B13&amp;"|"&amp;$C$5,'LP Capital Accounts'!$O$4:$O$273,0))</f>
        <v>2808633.2656</v>
      </c>
      <c r="E13" s="25" t="n">
        <f aca="false">INDEX('LP Capital Accounts'!$G$4:$G$273,MATCH(B13&amp;"|"&amp;$C$5,'LP Capital Accounts'!$O$4:$O$273,0))</f>
        <v>840000</v>
      </c>
      <c r="F13" s="25" t="n">
        <f aca="false">INDEX('LP Capital Accounts'!$H$4:$H$273,MATCH(B13&amp;"|"&amp;$C$5,'LP Capital Accounts'!$O$4:$O$273,0))</f>
        <v>0</v>
      </c>
      <c r="G13" s="25" t="n">
        <f aca="false">INDEX('LP Capital Accounts'!$I$4:$I$273,MATCH(B13&amp;"|"&amp;$C$5,'LP Capital Accounts'!$O$4:$O$273,0))</f>
        <v>0</v>
      </c>
      <c r="H13" s="25" t="n">
        <f aca="false">INDEX('LP Capital Accounts'!$J$4:$J$273,MATCH(B13&amp;"|"&amp;$C$5,'LP Capital Accounts'!$O$4:$O$273,0))</f>
        <v>0</v>
      </c>
      <c r="I13" s="25" t="n">
        <f aca="false">INDEX('LP Capital Accounts'!$K$4:$K$273,MATCH(B13&amp;"|"&amp;$C$5,'LP Capital Accounts'!$O$4:$O$273,0))</f>
        <v>0</v>
      </c>
      <c r="J13" s="25" t="n">
        <f aca="false">INDEX('LP Capital Accounts'!$L$4:$L$273,MATCH(B13&amp;"|"&amp;$C$5,'LP Capital Accounts'!$O$4:$O$273,0))</f>
        <v>121382.8</v>
      </c>
      <c r="K13" s="25" t="n">
        <f aca="false">INDEX('LP Capital Accounts'!$M$4:$M$273,MATCH(B13&amp;"|"&amp;$C$5,'LP Capital Accounts'!$O$4:$O$273,0))</f>
        <v>-0</v>
      </c>
      <c r="L13" s="25" t="n">
        <f aca="false">INDEX('LP Capital Accounts'!$N$4:$N$273,MATCH(B13&amp;"|"&amp;$C$5,'LP Capital Accounts'!$O$4:$O$273,0))</f>
        <v>3770016.0656</v>
      </c>
    </row>
    <row r="14" customFormat="false" ht="15" hidden="false" customHeight="true" outlineLevel="0" collapsed="false">
      <c r="B14" s="7" t="n">
        <v>5</v>
      </c>
      <c r="C14" s="9" t="str">
        <f aca="false">Quarters!$E$8</f>
        <v>Q1 2023</v>
      </c>
      <c r="D14" s="25" t="n">
        <f aca="false">INDEX('LP Capital Accounts'!$F$4:$F$273,MATCH(B14&amp;"|"&amp;$C$5,'LP Capital Accounts'!$O$4:$O$273,0))</f>
        <v>3770016.0656</v>
      </c>
      <c r="E14" s="25" t="n">
        <f aca="false">INDEX('LP Capital Accounts'!$G$4:$G$273,MATCH(B14&amp;"|"&amp;$C$5,'LP Capital Accounts'!$O$4:$O$273,0))</f>
        <v>680000</v>
      </c>
      <c r="F14" s="25" t="n">
        <f aca="false">INDEX('LP Capital Accounts'!$H$4:$H$273,MATCH(B14&amp;"|"&amp;$C$5,'LP Capital Accounts'!$O$4:$O$273,0))</f>
        <v>0</v>
      </c>
      <c r="G14" s="25" t="n">
        <f aca="false">INDEX('LP Capital Accounts'!$I$4:$I$273,MATCH(B14&amp;"|"&amp;$C$5,'LP Capital Accounts'!$O$4:$O$273,0))</f>
        <v>0</v>
      </c>
      <c r="H14" s="25" t="n">
        <f aca="false">INDEX('LP Capital Accounts'!$J$4:$J$273,MATCH(B14&amp;"|"&amp;$C$5,'LP Capital Accounts'!$O$4:$O$273,0))</f>
        <v>0</v>
      </c>
      <c r="I14" s="25" t="n">
        <f aca="false">INDEX('LP Capital Accounts'!$K$4:$K$273,MATCH(B14&amp;"|"&amp;$C$5,'LP Capital Accounts'!$O$4:$O$273,0))</f>
        <v>0</v>
      </c>
      <c r="J14" s="25" t="n">
        <f aca="false">INDEX('LP Capital Accounts'!$L$4:$L$273,MATCH(B14&amp;"|"&amp;$C$5,'LP Capital Accounts'!$O$4:$O$273,0))</f>
        <v>197757.896</v>
      </c>
      <c r="K14" s="25" t="n">
        <f aca="false">INDEX('LP Capital Accounts'!$M$4:$M$273,MATCH(B14&amp;"|"&amp;$C$5,'LP Capital Accounts'!$O$4:$O$273,0))</f>
        <v>-0</v>
      </c>
      <c r="L14" s="25" t="n">
        <f aca="false">INDEX('LP Capital Accounts'!$N$4:$N$273,MATCH(B14&amp;"|"&amp;$C$5,'LP Capital Accounts'!$O$4:$O$273,0))</f>
        <v>4647773.9616</v>
      </c>
    </row>
    <row r="15" customFormat="false" ht="15" hidden="false" customHeight="true" outlineLevel="0" collapsed="false">
      <c r="B15" s="7" t="n">
        <v>6</v>
      </c>
      <c r="C15" s="9" t="str">
        <f aca="false">Quarters!$E$9</f>
        <v>Q2 2023</v>
      </c>
      <c r="D15" s="25" t="n">
        <f aca="false">INDEX('LP Capital Accounts'!$F$4:$F$273,MATCH(B15&amp;"|"&amp;$C$5,'LP Capital Accounts'!$O$4:$O$273,0))</f>
        <v>4647773.9616</v>
      </c>
      <c r="E15" s="25" t="n">
        <f aca="false">INDEX('LP Capital Accounts'!$G$4:$G$273,MATCH(B15&amp;"|"&amp;$C$5,'LP Capital Accounts'!$O$4:$O$273,0))</f>
        <v>840000</v>
      </c>
      <c r="F15" s="25" t="n">
        <f aca="false">INDEX('LP Capital Accounts'!$H$4:$H$273,MATCH(B15&amp;"|"&amp;$C$5,'LP Capital Accounts'!$O$4:$O$273,0))</f>
        <v>0</v>
      </c>
      <c r="G15" s="25" t="n">
        <f aca="false">INDEX('LP Capital Accounts'!$I$4:$I$273,MATCH(B15&amp;"|"&amp;$C$5,'LP Capital Accounts'!$O$4:$O$273,0))</f>
        <v>0</v>
      </c>
      <c r="H15" s="25" t="n">
        <f aca="false">INDEX('LP Capital Accounts'!$J$4:$J$273,MATCH(B15&amp;"|"&amp;$C$5,'LP Capital Accounts'!$O$4:$O$273,0))</f>
        <v>0</v>
      </c>
      <c r="I15" s="25" t="n">
        <f aca="false">INDEX('LP Capital Accounts'!$K$4:$K$273,MATCH(B15&amp;"|"&amp;$C$5,'LP Capital Accounts'!$O$4:$O$273,0))</f>
        <v>0</v>
      </c>
      <c r="J15" s="25" t="n">
        <f aca="false">INDEX('LP Capital Accounts'!$L$4:$L$273,MATCH(B15&amp;"|"&amp;$C$5,'LP Capital Accounts'!$O$4:$O$273,0))</f>
        <v>146209.6848</v>
      </c>
      <c r="K15" s="25" t="n">
        <f aca="false">INDEX('LP Capital Accounts'!$M$4:$M$273,MATCH(B15&amp;"|"&amp;$C$5,'LP Capital Accounts'!$O$4:$O$273,0))</f>
        <v>-0</v>
      </c>
      <c r="L15" s="25" t="n">
        <f aca="false">INDEX('LP Capital Accounts'!$N$4:$N$273,MATCH(B15&amp;"|"&amp;$C$5,'LP Capital Accounts'!$O$4:$O$273,0))</f>
        <v>5633983.6464</v>
      </c>
    </row>
    <row r="16" customFormat="false" ht="15" hidden="false" customHeight="true" outlineLevel="0" collapsed="false">
      <c r="B16" s="7" t="n">
        <v>7</v>
      </c>
      <c r="C16" s="9" t="str">
        <f aca="false">Quarters!$E$10</f>
        <v>Q3 2023</v>
      </c>
      <c r="D16" s="25" t="n">
        <f aca="false">INDEX('LP Capital Accounts'!$F$4:$F$273,MATCH(B16&amp;"|"&amp;$C$5,'LP Capital Accounts'!$O$4:$O$273,0))</f>
        <v>5633983.6464</v>
      </c>
      <c r="E16" s="25" t="n">
        <f aca="false">INDEX('LP Capital Accounts'!$G$4:$G$273,MATCH(B16&amp;"|"&amp;$C$5,'LP Capital Accounts'!$O$4:$O$273,0))</f>
        <v>760000</v>
      </c>
      <c r="F16" s="25" t="n">
        <f aca="false">INDEX('LP Capital Accounts'!$H$4:$H$273,MATCH(B16&amp;"|"&amp;$C$5,'LP Capital Accounts'!$O$4:$O$273,0))</f>
        <v>0</v>
      </c>
      <c r="G16" s="25" t="n">
        <f aca="false">INDEX('LP Capital Accounts'!$I$4:$I$273,MATCH(B16&amp;"|"&amp;$C$5,'LP Capital Accounts'!$O$4:$O$273,0))</f>
        <v>0</v>
      </c>
      <c r="H16" s="25" t="n">
        <f aca="false">INDEX('LP Capital Accounts'!$J$4:$J$273,MATCH(B16&amp;"|"&amp;$C$5,'LP Capital Accounts'!$O$4:$O$273,0))</f>
        <v>0</v>
      </c>
      <c r="I16" s="25" t="n">
        <f aca="false">INDEX('LP Capital Accounts'!$K$4:$K$273,MATCH(B16&amp;"|"&amp;$C$5,'LP Capital Accounts'!$O$4:$O$273,0))</f>
        <v>0</v>
      </c>
      <c r="J16" s="25" t="n">
        <f aca="false">INDEX('LP Capital Accounts'!$L$4:$L$273,MATCH(B16&amp;"|"&amp;$C$5,'LP Capital Accounts'!$O$4:$O$273,0))</f>
        <v>289461.548799999</v>
      </c>
      <c r="K16" s="25" t="n">
        <f aca="false">INDEX('LP Capital Accounts'!$M$4:$M$273,MATCH(B16&amp;"|"&amp;$C$5,'LP Capital Accounts'!$O$4:$O$273,0))</f>
        <v>-0</v>
      </c>
      <c r="L16" s="25" t="n">
        <f aca="false">INDEX('LP Capital Accounts'!$N$4:$N$273,MATCH(B16&amp;"|"&amp;$C$5,'LP Capital Accounts'!$O$4:$O$273,0))</f>
        <v>6683445.1952</v>
      </c>
    </row>
    <row r="17" customFormat="false" ht="15" hidden="false" customHeight="true" outlineLevel="0" collapsed="false">
      <c r="B17" s="7" t="n">
        <v>8</v>
      </c>
      <c r="C17" s="9" t="str">
        <f aca="false">Quarters!$E$11</f>
        <v>Q4 2023</v>
      </c>
      <c r="D17" s="25" t="n">
        <f aca="false">INDEX('LP Capital Accounts'!$F$4:$F$273,MATCH(B17&amp;"|"&amp;$C$5,'LP Capital Accounts'!$O$4:$O$273,0))</f>
        <v>6683445.1952</v>
      </c>
      <c r="E17" s="25" t="n">
        <f aca="false">INDEX('LP Capital Accounts'!$G$4:$G$273,MATCH(B17&amp;"|"&amp;$C$5,'LP Capital Accounts'!$O$4:$O$273,0))</f>
        <v>600000</v>
      </c>
      <c r="F17" s="25" t="n">
        <f aca="false">INDEX('LP Capital Accounts'!$H$4:$H$273,MATCH(B17&amp;"|"&amp;$C$5,'LP Capital Accounts'!$O$4:$O$273,0))</f>
        <v>0</v>
      </c>
      <c r="G17" s="25" t="n">
        <f aca="false">INDEX('LP Capital Accounts'!$I$4:$I$273,MATCH(B17&amp;"|"&amp;$C$5,'LP Capital Accounts'!$O$4:$O$273,0))</f>
        <v>0</v>
      </c>
      <c r="H17" s="25" t="n">
        <f aca="false">INDEX('LP Capital Accounts'!$J$4:$J$273,MATCH(B17&amp;"|"&amp;$C$5,'LP Capital Accounts'!$O$4:$O$273,0))</f>
        <v>0</v>
      </c>
      <c r="I17" s="25" t="n">
        <f aca="false">INDEX('LP Capital Accounts'!$K$4:$K$273,MATCH(B17&amp;"|"&amp;$C$5,'LP Capital Accounts'!$O$4:$O$273,0))</f>
        <v>0</v>
      </c>
      <c r="J17" s="25" t="n">
        <f aca="false">INDEX('LP Capital Accounts'!$L$4:$L$273,MATCH(B17&amp;"|"&amp;$C$5,'LP Capital Accounts'!$O$4:$O$273,0))</f>
        <v>361987.4064</v>
      </c>
      <c r="K17" s="25" t="n">
        <f aca="false">INDEX('LP Capital Accounts'!$M$4:$M$273,MATCH(B17&amp;"|"&amp;$C$5,'LP Capital Accounts'!$O$4:$O$273,0))</f>
        <v>-0</v>
      </c>
      <c r="L17" s="25" t="n">
        <f aca="false">INDEX('LP Capital Accounts'!$N$4:$N$273,MATCH(B17&amp;"|"&amp;$C$5,'LP Capital Accounts'!$O$4:$O$273,0))</f>
        <v>7645432.6016</v>
      </c>
    </row>
    <row r="18" customFormat="false" ht="15" hidden="false" customHeight="true" outlineLevel="0" collapsed="false">
      <c r="B18" s="7" t="n">
        <v>9</v>
      </c>
      <c r="C18" s="9" t="str">
        <f aca="false">Quarters!$E$12</f>
        <v>Q1 2024</v>
      </c>
      <c r="D18" s="25" t="n">
        <f aca="false">INDEX('LP Capital Accounts'!$F$4:$F$273,MATCH(B18&amp;"|"&amp;$C$5,'LP Capital Accounts'!$O$4:$O$273,0))</f>
        <v>7645432.6016</v>
      </c>
      <c r="E18" s="25" t="n">
        <f aca="false">INDEX('LP Capital Accounts'!$G$4:$G$273,MATCH(B18&amp;"|"&amp;$C$5,'LP Capital Accounts'!$O$4:$O$273,0))</f>
        <v>680000</v>
      </c>
      <c r="F18" s="25" t="n">
        <f aca="false">INDEX('LP Capital Accounts'!$H$4:$H$273,MATCH(B18&amp;"|"&amp;$C$5,'LP Capital Accounts'!$O$4:$O$273,0))</f>
        <v>0</v>
      </c>
      <c r="G18" s="25" t="n">
        <f aca="false">INDEX('LP Capital Accounts'!$I$4:$I$273,MATCH(B18&amp;"|"&amp;$C$5,'LP Capital Accounts'!$O$4:$O$273,0))</f>
        <v>0</v>
      </c>
      <c r="H18" s="25" t="n">
        <f aca="false">INDEX('LP Capital Accounts'!$J$4:$J$273,MATCH(B18&amp;"|"&amp;$C$5,'LP Capital Accounts'!$O$4:$O$273,0))</f>
        <v>0</v>
      </c>
      <c r="I18" s="25" t="n">
        <f aca="false">INDEX('LP Capital Accounts'!$K$4:$K$273,MATCH(B18&amp;"|"&amp;$C$5,'LP Capital Accounts'!$O$4:$O$273,0))</f>
        <v>0</v>
      </c>
      <c r="J18" s="25" t="n">
        <f aca="false">INDEX('LP Capital Accounts'!$L$4:$L$273,MATCH(B18&amp;"|"&amp;$C$5,'LP Capital Accounts'!$O$4:$O$273,0))</f>
        <v>418332.608000001</v>
      </c>
      <c r="K18" s="25" t="n">
        <f aca="false">INDEX('LP Capital Accounts'!$M$4:$M$273,MATCH(B18&amp;"|"&amp;$C$5,'LP Capital Accounts'!$O$4:$O$273,0))</f>
        <v>-0</v>
      </c>
      <c r="L18" s="25" t="n">
        <f aca="false">INDEX('LP Capital Accounts'!$N$4:$N$273,MATCH(B18&amp;"|"&amp;$C$5,'LP Capital Accounts'!$O$4:$O$273,0))</f>
        <v>8743765.2096</v>
      </c>
    </row>
    <row r="19" customFormat="false" ht="15" hidden="false" customHeight="true" outlineLevel="0" collapsed="false">
      <c r="B19" s="7" t="n">
        <v>10</v>
      </c>
      <c r="C19" s="9" t="str">
        <f aca="false">Quarters!$E$13</f>
        <v>Q2 2024</v>
      </c>
      <c r="D19" s="25" t="n">
        <f aca="false">INDEX('LP Capital Accounts'!$F$4:$F$273,MATCH(B19&amp;"|"&amp;$C$5,'LP Capital Accounts'!$O$4:$O$273,0))</f>
        <v>8743765.2096</v>
      </c>
      <c r="E19" s="25" t="n">
        <f aca="false">INDEX('LP Capital Accounts'!$G$4:$G$273,MATCH(B19&amp;"|"&amp;$C$5,'LP Capital Accounts'!$O$4:$O$273,0))</f>
        <v>600000</v>
      </c>
      <c r="F19" s="25" t="n">
        <f aca="false">INDEX('LP Capital Accounts'!$H$4:$H$273,MATCH(B19&amp;"|"&amp;$C$5,'LP Capital Accounts'!$O$4:$O$273,0))</f>
        <v>0</v>
      </c>
      <c r="G19" s="25" t="n">
        <f aca="false">INDEX('LP Capital Accounts'!$I$4:$I$273,MATCH(B19&amp;"|"&amp;$C$5,'LP Capital Accounts'!$O$4:$O$273,0))</f>
        <v>0</v>
      </c>
      <c r="H19" s="25" t="n">
        <f aca="false">INDEX('LP Capital Accounts'!$J$4:$J$273,MATCH(B19&amp;"|"&amp;$C$5,'LP Capital Accounts'!$O$4:$O$273,0))</f>
        <v>0</v>
      </c>
      <c r="I19" s="25" t="n">
        <f aca="false">INDEX('LP Capital Accounts'!$K$4:$K$273,MATCH(B19&amp;"|"&amp;$C$5,'LP Capital Accounts'!$O$4:$O$273,0))</f>
        <v>0</v>
      </c>
      <c r="J19" s="25" t="n">
        <f aca="false">INDEX('LP Capital Accounts'!$L$4:$L$273,MATCH(B19&amp;"|"&amp;$C$5,'LP Capital Accounts'!$O$4:$O$273,0))</f>
        <v>488580.289599999</v>
      </c>
      <c r="K19" s="25" t="n">
        <f aca="false">INDEX('LP Capital Accounts'!$M$4:$M$273,MATCH(B19&amp;"|"&amp;$C$5,'LP Capital Accounts'!$O$4:$O$273,0))</f>
        <v>-0</v>
      </c>
      <c r="L19" s="25" t="n">
        <f aca="false">INDEX('LP Capital Accounts'!$N$4:$N$273,MATCH(B19&amp;"|"&amp;$C$5,'LP Capital Accounts'!$O$4:$O$273,0))</f>
        <v>9832345.4992</v>
      </c>
    </row>
    <row r="20" customFormat="false" ht="15" hidden="false" customHeight="true" outlineLevel="0" collapsed="false">
      <c r="B20" s="7" t="n">
        <v>11</v>
      </c>
      <c r="C20" s="9" t="str">
        <f aca="false">Quarters!$E$14</f>
        <v>Q3 2024</v>
      </c>
      <c r="D20" s="25" t="n">
        <f aca="false">INDEX('LP Capital Accounts'!$F$4:$F$273,MATCH(B20&amp;"|"&amp;$C$5,'LP Capital Accounts'!$O$4:$O$273,0))</f>
        <v>9832345.4992</v>
      </c>
      <c r="E20" s="25" t="n">
        <f aca="false">INDEX('LP Capital Accounts'!$G$4:$G$273,MATCH(B20&amp;"|"&amp;$C$5,'LP Capital Accounts'!$O$4:$O$273,0))</f>
        <v>40000</v>
      </c>
      <c r="F20" s="25" t="n">
        <f aca="false">INDEX('LP Capital Accounts'!$H$4:$H$273,MATCH(B20&amp;"|"&amp;$C$5,'LP Capital Accounts'!$O$4:$O$273,0))</f>
        <v>0</v>
      </c>
      <c r="G20" s="25" t="n">
        <f aca="false">INDEX('LP Capital Accounts'!$I$4:$I$273,MATCH(B20&amp;"|"&amp;$C$5,'LP Capital Accounts'!$O$4:$O$273,0))</f>
        <v>0</v>
      </c>
      <c r="H20" s="25" t="n">
        <f aca="false">INDEX('LP Capital Accounts'!$J$4:$J$273,MATCH(B20&amp;"|"&amp;$C$5,'LP Capital Accounts'!$O$4:$O$273,0))</f>
        <v>0</v>
      </c>
      <c r="I20" s="25" t="n">
        <f aca="false">INDEX('LP Capital Accounts'!$K$4:$K$273,MATCH(B20&amp;"|"&amp;$C$5,'LP Capital Accounts'!$O$4:$O$273,0))</f>
        <v>0</v>
      </c>
      <c r="J20" s="25" t="n">
        <f aca="false">INDEX('LP Capital Accounts'!$L$4:$L$273,MATCH(B20&amp;"|"&amp;$C$5,'LP Capital Accounts'!$O$4:$O$273,0))</f>
        <v>546194.728000001</v>
      </c>
      <c r="K20" s="25" t="n">
        <f aca="false">INDEX('LP Capital Accounts'!$M$4:$M$273,MATCH(B20&amp;"|"&amp;$C$5,'LP Capital Accounts'!$O$4:$O$273,0))</f>
        <v>-0</v>
      </c>
      <c r="L20" s="25" t="n">
        <f aca="false">INDEX('LP Capital Accounts'!$N$4:$N$273,MATCH(B20&amp;"|"&amp;$C$5,'LP Capital Accounts'!$O$4:$O$273,0))</f>
        <v>10418540.2272</v>
      </c>
    </row>
    <row r="21" customFormat="false" ht="15" hidden="false" customHeight="true" outlineLevel="0" collapsed="false">
      <c r="B21" s="7" t="n">
        <v>12</v>
      </c>
      <c r="C21" s="9" t="str">
        <f aca="false">Quarters!$E$15</f>
        <v>Q4 2024</v>
      </c>
      <c r="D21" s="25" t="n">
        <f aca="false">INDEX('LP Capital Accounts'!$F$4:$F$273,MATCH(B21&amp;"|"&amp;$C$5,'LP Capital Accounts'!$O$4:$O$273,0))</f>
        <v>10418540.2272</v>
      </c>
      <c r="E21" s="25" t="n">
        <f aca="false">INDEX('LP Capital Accounts'!$G$4:$G$273,MATCH(B21&amp;"|"&amp;$C$5,'LP Capital Accounts'!$O$4:$O$273,0))</f>
        <v>40000</v>
      </c>
      <c r="F21" s="25" t="n">
        <f aca="false">INDEX('LP Capital Accounts'!$H$4:$H$273,MATCH(B21&amp;"|"&amp;$C$5,'LP Capital Accounts'!$O$4:$O$273,0))</f>
        <v>0</v>
      </c>
      <c r="G21" s="25" t="n">
        <f aca="false">INDEX('LP Capital Accounts'!$I$4:$I$273,MATCH(B21&amp;"|"&amp;$C$5,'LP Capital Accounts'!$O$4:$O$273,0))</f>
        <v>0</v>
      </c>
      <c r="H21" s="25" t="n">
        <f aca="false">INDEX('LP Capital Accounts'!$J$4:$J$273,MATCH(B21&amp;"|"&amp;$C$5,'LP Capital Accounts'!$O$4:$O$273,0))</f>
        <v>0</v>
      </c>
      <c r="I21" s="25" t="n">
        <f aca="false">INDEX('LP Capital Accounts'!$K$4:$K$273,MATCH(B21&amp;"|"&amp;$C$5,'LP Capital Accounts'!$O$4:$O$273,0))</f>
        <v>0</v>
      </c>
      <c r="J21" s="25" t="n">
        <f aca="false">INDEX('LP Capital Accounts'!$L$4:$L$273,MATCH(B21&amp;"|"&amp;$C$5,'LP Capital Accounts'!$O$4:$O$273,0))</f>
        <v>658205.2496</v>
      </c>
      <c r="K21" s="25" t="n">
        <f aca="false">INDEX('LP Capital Accounts'!$M$4:$M$273,MATCH(B21&amp;"|"&amp;$C$5,'LP Capital Accounts'!$O$4:$O$273,0))</f>
        <v>-0</v>
      </c>
      <c r="L21" s="25" t="n">
        <f aca="false">INDEX('LP Capital Accounts'!$N$4:$N$273,MATCH(B21&amp;"|"&amp;$C$5,'LP Capital Accounts'!$O$4:$O$273,0))</f>
        <v>11116745.4768</v>
      </c>
    </row>
    <row r="22" customFormat="false" ht="15" hidden="false" customHeight="true" outlineLevel="0" collapsed="false">
      <c r="B22" s="7" t="n">
        <v>13</v>
      </c>
      <c r="C22" s="9" t="str">
        <f aca="false">Quarters!$E$16</f>
        <v>Q1 2025</v>
      </c>
      <c r="D22" s="25" t="n">
        <f aca="false">INDEX('LP Capital Accounts'!$F$4:$F$273,MATCH(B22&amp;"|"&amp;$C$5,'LP Capital Accounts'!$O$4:$O$273,0))</f>
        <v>11116745.4768</v>
      </c>
      <c r="E22" s="25" t="n">
        <f aca="false">INDEX('LP Capital Accounts'!$G$4:$G$273,MATCH(B22&amp;"|"&amp;$C$5,'LP Capital Accounts'!$O$4:$O$273,0))</f>
        <v>36400</v>
      </c>
      <c r="F22" s="25" t="n">
        <f aca="false">INDEX('LP Capital Accounts'!$H$4:$H$273,MATCH(B22&amp;"|"&amp;$C$5,'LP Capital Accounts'!$O$4:$O$273,0))</f>
        <v>3105901.9184</v>
      </c>
      <c r="G22" s="25" t="n">
        <f aca="false">INDEX('LP Capital Accounts'!$I$4:$I$273,MATCH(B22&amp;"|"&amp;$C$5,'LP Capital Accounts'!$O$4:$O$273,0))</f>
        <v>0</v>
      </c>
      <c r="H22" s="25" t="n">
        <f aca="false">INDEX('LP Capital Accounts'!$J$4:$J$273,MATCH(B22&amp;"|"&amp;$C$5,'LP Capital Accounts'!$O$4:$O$273,0))</f>
        <v>0</v>
      </c>
      <c r="I22" s="25" t="n">
        <f aca="false">INDEX('LP Capital Accounts'!$K$4:$K$273,MATCH(B22&amp;"|"&amp;$C$5,'LP Capital Accounts'!$O$4:$O$273,0))</f>
        <v>3105901.9184</v>
      </c>
      <c r="J22" s="25" t="n">
        <f aca="false">INDEX('LP Capital Accounts'!$L$4:$L$273,MATCH(B22&amp;"|"&amp;$C$5,'LP Capital Accounts'!$O$4:$O$273,0))</f>
        <v>753308.681599999</v>
      </c>
      <c r="K22" s="25" t="n">
        <f aca="false">INDEX('LP Capital Accounts'!$M$4:$M$273,MATCH(B22&amp;"|"&amp;$C$5,'LP Capital Accounts'!$O$4:$O$273,0))</f>
        <v>-0</v>
      </c>
      <c r="L22" s="25" t="n">
        <f aca="false">INDEX('LP Capital Accounts'!$N$4:$N$273,MATCH(B22&amp;"|"&amp;$C$5,'LP Capital Accounts'!$O$4:$O$273,0))</f>
        <v>8800552.24</v>
      </c>
    </row>
    <row r="23" customFormat="false" ht="15" hidden="false" customHeight="true" outlineLevel="0" collapsed="false">
      <c r="B23" s="7" t="n">
        <v>14</v>
      </c>
      <c r="C23" s="9" t="str">
        <f aca="false">Quarters!$E$17</f>
        <v>Q2 2025</v>
      </c>
      <c r="D23" s="25" t="n">
        <f aca="false">INDEX('LP Capital Accounts'!$F$4:$F$273,MATCH(B23&amp;"|"&amp;$C$5,'LP Capital Accounts'!$O$4:$O$273,0))</f>
        <v>8800552.24</v>
      </c>
      <c r="E23" s="25" t="n">
        <f aca="false">INDEX('LP Capital Accounts'!$G$4:$G$273,MATCH(B23&amp;"|"&amp;$C$5,'LP Capital Accounts'!$O$4:$O$273,0))</f>
        <v>36400</v>
      </c>
      <c r="F23" s="25" t="n">
        <f aca="false">INDEX('LP Capital Accounts'!$H$4:$H$273,MATCH(B23&amp;"|"&amp;$C$5,'LP Capital Accounts'!$O$4:$O$273,0))</f>
        <v>0</v>
      </c>
      <c r="G23" s="25" t="n">
        <f aca="false">INDEX('LP Capital Accounts'!$I$4:$I$273,MATCH(B23&amp;"|"&amp;$C$5,'LP Capital Accounts'!$O$4:$O$273,0))</f>
        <v>0</v>
      </c>
      <c r="H23" s="25" t="n">
        <f aca="false">INDEX('LP Capital Accounts'!$J$4:$J$273,MATCH(B23&amp;"|"&amp;$C$5,'LP Capital Accounts'!$O$4:$O$273,0))</f>
        <v>0</v>
      </c>
      <c r="I23" s="25" t="n">
        <f aca="false">INDEX('LP Capital Accounts'!$K$4:$K$273,MATCH(B23&amp;"|"&amp;$C$5,'LP Capital Accounts'!$O$4:$O$273,0))</f>
        <v>0</v>
      </c>
      <c r="J23" s="25" t="n">
        <f aca="false">INDEX('LP Capital Accounts'!$L$4:$L$273,MATCH(B23&amp;"|"&amp;$C$5,'LP Capital Accounts'!$O$4:$O$273,0))</f>
        <v>435721.6464</v>
      </c>
      <c r="K23" s="25" t="n">
        <f aca="false">INDEX('LP Capital Accounts'!$M$4:$M$273,MATCH(B23&amp;"|"&amp;$C$5,'LP Capital Accounts'!$O$4:$O$273,0))</f>
        <v>-0</v>
      </c>
      <c r="L23" s="25" t="n">
        <f aca="false">INDEX('LP Capital Accounts'!$N$4:$N$273,MATCH(B23&amp;"|"&amp;$C$5,'LP Capital Accounts'!$O$4:$O$273,0))</f>
        <v>9272673.8864</v>
      </c>
    </row>
    <row r="24" customFormat="false" ht="15" hidden="false" customHeight="true" outlineLevel="0" collapsed="false">
      <c r="B24" s="7" t="n">
        <v>15</v>
      </c>
      <c r="C24" s="9" t="str">
        <f aca="false">Quarters!$E$18</f>
        <v>Q3 2025</v>
      </c>
      <c r="D24" s="25" t="n">
        <f aca="false">INDEX('LP Capital Accounts'!$F$4:$F$273,MATCH(B24&amp;"|"&amp;$C$5,'LP Capital Accounts'!$O$4:$O$273,0))</f>
        <v>9272673.8864</v>
      </c>
      <c r="E24" s="25" t="n">
        <f aca="false">INDEX('LP Capital Accounts'!$G$4:$G$273,MATCH(B24&amp;"|"&amp;$C$5,'LP Capital Accounts'!$O$4:$O$273,0))</f>
        <v>31600</v>
      </c>
      <c r="F24" s="25" t="n">
        <f aca="false">INDEX('LP Capital Accounts'!$H$4:$H$273,MATCH(B24&amp;"|"&amp;$C$5,'LP Capital Accounts'!$O$4:$O$273,0))</f>
        <v>1758970.4864</v>
      </c>
      <c r="G24" s="25" t="n">
        <f aca="false">INDEX('LP Capital Accounts'!$I$4:$I$273,MATCH(B24&amp;"|"&amp;$C$5,'LP Capital Accounts'!$O$4:$O$273,0))</f>
        <v>0</v>
      </c>
      <c r="H24" s="25" t="n">
        <f aca="false">INDEX('LP Capital Accounts'!$J$4:$J$273,MATCH(B24&amp;"|"&amp;$C$5,'LP Capital Accounts'!$O$4:$O$273,0))</f>
        <v>0</v>
      </c>
      <c r="I24" s="25" t="n">
        <f aca="false">INDEX('LP Capital Accounts'!$K$4:$K$273,MATCH(B24&amp;"|"&amp;$C$5,'LP Capital Accounts'!$O$4:$O$273,0))</f>
        <v>1758970.4864</v>
      </c>
      <c r="J24" s="25" t="n">
        <f aca="false">INDEX('LP Capital Accounts'!$L$4:$L$273,MATCH(B24&amp;"|"&amp;$C$5,'LP Capital Accounts'!$O$4:$O$273,0))</f>
        <v>426577.816</v>
      </c>
      <c r="K24" s="25" t="n">
        <f aca="false">INDEX('LP Capital Accounts'!$M$4:$M$273,MATCH(B24&amp;"|"&amp;$C$5,'LP Capital Accounts'!$O$4:$O$273,0))</f>
        <v>-0</v>
      </c>
      <c r="L24" s="25" t="n">
        <f aca="false">INDEX('LP Capital Accounts'!$N$4:$N$273,MATCH(B24&amp;"|"&amp;$C$5,'LP Capital Accounts'!$O$4:$O$273,0))</f>
        <v>7971881.216</v>
      </c>
    </row>
    <row r="25" customFormat="false" ht="15" hidden="false" customHeight="true" outlineLevel="0" collapsed="false">
      <c r="B25" s="7" t="n">
        <v>16</v>
      </c>
      <c r="C25" s="9" t="str">
        <f aca="false">Quarters!$E$19</f>
        <v>Q4 2025</v>
      </c>
      <c r="D25" s="25" t="n">
        <f aca="false">INDEX('LP Capital Accounts'!$F$4:$F$273,MATCH(B25&amp;"|"&amp;$C$5,'LP Capital Accounts'!$O$4:$O$273,0))</f>
        <v>7971881.216</v>
      </c>
      <c r="E25" s="25" t="n">
        <f aca="false">INDEX('LP Capital Accounts'!$G$4:$G$273,MATCH(B25&amp;"|"&amp;$C$5,'LP Capital Accounts'!$O$4:$O$273,0))</f>
        <v>31600</v>
      </c>
      <c r="F25" s="25" t="n">
        <f aca="false">INDEX('LP Capital Accounts'!$H$4:$H$273,MATCH(B25&amp;"|"&amp;$C$5,'LP Capital Accounts'!$O$4:$O$273,0))</f>
        <v>0</v>
      </c>
      <c r="G25" s="25" t="n">
        <f aca="false">INDEX('LP Capital Accounts'!$I$4:$I$273,MATCH(B25&amp;"|"&amp;$C$5,'LP Capital Accounts'!$O$4:$O$273,0))</f>
        <v>0</v>
      </c>
      <c r="H25" s="25" t="n">
        <f aca="false">INDEX('LP Capital Accounts'!$J$4:$J$273,MATCH(B25&amp;"|"&amp;$C$5,'LP Capital Accounts'!$O$4:$O$273,0))</f>
        <v>0</v>
      </c>
      <c r="I25" s="25" t="n">
        <f aca="false">INDEX('LP Capital Accounts'!$K$4:$K$273,MATCH(B25&amp;"|"&amp;$C$5,'LP Capital Accounts'!$O$4:$O$273,0))</f>
        <v>0</v>
      </c>
      <c r="J25" s="25" t="n">
        <f aca="false">INDEX('LP Capital Accounts'!$L$4:$L$273,MATCH(B25&amp;"|"&amp;$C$5,'LP Capital Accounts'!$O$4:$O$273,0))</f>
        <v>348905.9888</v>
      </c>
      <c r="K25" s="25" t="n">
        <f aca="false">INDEX('LP Capital Accounts'!$M$4:$M$273,MATCH(B25&amp;"|"&amp;$C$5,'LP Capital Accounts'!$O$4:$O$273,0))</f>
        <v>-0</v>
      </c>
      <c r="L25" s="25" t="n">
        <f aca="false">INDEX('LP Capital Accounts'!$N$4:$N$273,MATCH(B25&amp;"|"&amp;$C$5,'LP Capital Accounts'!$O$4:$O$273,0))</f>
        <v>8352387.2048</v>
      </c>
    </row>
    <row r="26" customFormat="false" ht="15" hidden="false" customHeight="true" outlineLevel="0" collapsed="false">
      <c r="B26" s="7" t="n">
        <v>17</v>
      </c>
      <c r="C26" s="9" t="str">
        <f aca="false">Quarters!$E$20</f>
        <v>Q1 2026</v>
      </c>
      <c r="D26" s="25" t="n">
        <f aca="false">INDEX('LP Capital Accounts'!$F$4:$F$273,MATCH(B26&amp;"|"&amp;$C$5,'LP Capital Accounts'!$O$4:$O$273,0))</f>
        <v>8352387.2048</v>
      </c>
      <c r="E26" s="25" t="n">
        <f aca="false">INDEX('LP Capital Accounts'!$G$4:$G$273,MATCH(B26&amp;"|"&amp;$C$5,'LP Capital Accounts'!$O$4:$O$273,0))</f>
        <v>27200</v>
      </c>
      <c r="F26" s="25" t="n">
        <f aca="false">INDEX('LP Capital Accounts'!$H$4:$H$273,MATCH(B26&amp;"|"&amp;$C$5,'LP Capital Accounts'!$O$4:$O$273,0))</f>
        <v>2368620.5968</v>
      </c>
      <c r="G26" s="25" t="n">
        <f aca="false">INDEX('LP Capital Accounts'!$I$4:$I$273,MATCH(B26&amp;"|"&amp;$C$5,'LP Capital Accounts'!$O$4:$O$273,0))</f>
        <v>0</v>
      </c>
      <c r="H26" s="25" t="n">
        <f aca="false">INDEX('LP Capital Accounts'!$J$4:$J$273,MATCH(B26&amp;"|"&amp;$C$5,'LP Capital Accounts'!$O$4:$O$273,0))</f>
        <v>0</v>
      </c>
      <c r="I26" s="25" t="n">
        <f aca="false">INDEX('LP Capital Accounts'!$K$4:$K$273,MATCH(B26&amp;"|"&amp;$C$5,'LP Capital Accounts'!$O$4:$O$273,0))</f>
        <v>2368620.5968</v>
      </c>
      <c r="J26" s="25" t="n">
        <f aca="false">INDEX('LP Capital Accounts'!$L$4:$L$273,MATCH(B26&amp;"|"&amp;$C$5,'LP Capital Accounts'!$O$4:$O$273,0))</f>
        <v>419791.510399999</v>
      </c>
      <c r="K26" s="25" t="n">
        <f aca="false">INDEX('LP Capital Accounts'!$M$4:$M$273,MATCH(B26&amp;"|"&amp;$C$5,'LP Capital Accounts'!$O$4:$O$273,0))</f>
        <v>-0</v>
      </c>
      <c r="L26" s="25" t="n">
        <f aca="false">INDEX('LP Capital Accounts'!$N$4:$N$273,MATCH(B26&amp;"|"&amp;$C$5,'LP Capital Accounts'!$O$4:$O$273,0))</f>
        <v>6430758.1184</v>
      </c>
    </row>
    <row r="27" customFormat="false" ht="15" hidden="false" customHeight="true" outlineLevel="0" collapsed="false">
      <c r="B27" s="7" t="n">
        <v>18</v>
      </c>
      <c r="C27" s="9" t="str">
        <f aca="false">Quarters!$E$21</f>
        <v>Q2 2026</v>
      </c>
      <c r="D27" s="25" t="n">
        <f aca="false">INDEX('LP Capital Accounts'!$F$4:$F$273,MATCH(B27&amp;"|"&amp;$C$5,'LP Capital Accounts'!$O$4:$O$273,0))</f>
        <v>6430758.1184</v>
      </c>
      <c r="E27" s="25" t="n">
        <f aca="false">INDEX('LP Capital Accounts'!$G$4:$G$273,MATCH(B27&amp;"|"&amp;$C$5,'LP Capital Accounts'!$O$4:$O$273,0))</f>
        <v>27200</v>
      </c>
      <c r="F27" s="25" t="n">
        <f aca="false">INDEX('LP Capital Accounts'!$H$4:$H$273,MATCH(B27&amp;"|"&amp;$C$5,'LP Capital Accounts'!$O$4:$O$273,0))</f>
        <v>716906.9984</v>
      </c>
      <c r="G27" s="25" t="n">
        <f aca="false">INDEX('LP Capital Accounts'!$I$4:$I$273,MATCH(B27&amp;"|"&amp;$C$5,'LP Capital Accounts'!$O$4:$O$273,0))</f>
        <v>1538755.16704</v>
      </c>
      <c r="H27" s="25" t="n">
        <f aca="false">INDEX('LP Capital Accounts'!$J$4:$J$273,MATCH(B27&amp;"|"&amp;$C$5,'LP Capital Accounts'!$O$4:$O$273,0))</f>
        <v>447108.57056</v>
      </c>
      <c r="I27" s="25" t="n">
        <f aca="false">INDEX('LP Capital Accounts'!$K$4:$K$273,MATCH(B27&amp;"|"&amp;$C$5,'LP Capital Accounts'!$O$4:$O$273,0))</f>
        <v>2702770.736</v>
      </c>
      <c r="J27" s="25" t="n">
        <f aca="false">INDEX('LP Capital Accounts'!$L$4:$L$273,MATCH(B27&amp;"|"&amp;$C$5,'LP Capital Accounts'!$O$4:$O$273,0))</f>
        <v>213402.974400001</v>
      </c>
      <c r="K27" s="25" t="n">
        <f aca="false">INDEX('LP Capital Accounts'!$M$4:$M$273,MATCH(B27&amp;"|"&amp;$C$5,'LP Capital Accounts'!$O$4:$O$273,0))</f>
        <v>-496465.9344</v>
      </c>
      <c r="L27" s="25" t="n">
        <f aca="false">INDEX('LP Capital Accounts'!$N$4:$N$273,MATCH(B27&amp;"|"&amp;$C$5,'LP Capital Accounts'!$O$4:$O$273,0))</f>
        <v>3472124.4224</v>
      </c>
    </row>
    <row r="28" customFormat="false" ht="15" hidden="false" customHeight="true" outlineLevel="0" collapsed="false">
      <c r="C28" s="11" t="s">
        <v>254</v>
      </c>
    </row>
  </sheetData>
  <mergeCells count="2">
    <mergeCell ref="A1:K1"/>
    <mergeCell ref="A2:K2"/>
  </mergeCells>
  <dataValidations count="1">
    <dataValidation allowBlank="false" errorStyle="stop" operator="between" showDropDown="false" showErrorMessage="false" showInputMessage="false" sqref="C4" type="list">
      <formula1>'LP Register'!$C$4:$C$18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18"/>
  </cols>
  <sheetData>
    <row r="1" customFormat="false" ht="21.75" hidden="false" customHeight="true" outlineLevel="0" collapsed="false">
      <c r="A1" s="2" t="s">
        <v>255</v>
      </c>
      <c r="B1" s="2"/>
      <c r="C1" s="2"/>
    </row>
    <row r="2" customFormat="false" ht="15" hidden="false" customHeight="true" outlineLevel="0" collapsed="false">
      <c r="A2" s="3" t="s">
        <v>256</v>
      </c>
      <c r="B2" s="3"/>
      <c r="C2" s="3"/>
    </row>
    <row r="4" customFormat="false" ht="15" hidden="false" customHeight="true" outlineLevel="0" collapsed="false">
      <c r="B4" s="6" t="s">
        <v>257</v>
      </c>
    </row>
    <row r="5" customFormat="false" ht="15" hidden="false" customHeight="true" outlineLevel="0" collapsed="false">
      <c r="B5" s="15" t="s">
        <v>258</v>
      </c>
      <c r="C5" s="15" t="s">
        <v>259</v>
      </c>
      <c r="D5" s="15" t="s">
        <v>260</v>
      </c>
    </row>
    <row r="6" customFormat="false" ht="15" hidden="false" customHeight="true" outlineLevel="0" collapsed="false">
      <c r="B6" s="28" t="n">
        <f aca="false">Quarters!$F$4</f>
        <v>44651</v>
      </c>
      <c r="C6" s="7" t="s">
        <v>261</v>
      </c>
      <c r="D6" s="25" t="n">
        <f aca="false">-'Portfolio Companies'!$G$4</f>
        <v>-6000000</v>
      </c>
    </row>
    <row r="7" customFormat="false" ht="15" hidden="false" customHeight="true" outlineLevel="0" collapsed="false">
      <c r="B7" s="28" t="n">
        <f aca="false">Quarters!$F$5</f>
        <v>44742</v>
      </c>
      <c r="C7" s="7" t="s">
        <v>262</v>
      </c>
      <c r="D7" s="25" t="n">
        <f aca="false">-'Portfolio Companies'!$G$5</f>
        <v>-5500000</v>
      </c>
    </row>
    <row r="8" customFormat="false" ht="15" hidden="false" customHeight="true" outlineLevel="0" collapsed="false">
      <c r="B8" s="28" t="n">
        <f aca="false">Quarters!$F$6</f>
        <v>44834</v>
      </c>
      <c r="C8" s="7" t="s">
        <v>263</v>
      </c>
      <c r="D8" s="25" t="n">
        <f aca="false">-'Portfolio Companies'!$G$6</f>
        <v>-4500000</v>
      </c>
    </row>
    <row r="9" customFormat="false" ht="15" hidden="false" customHeight="true" outlineLevel="0" collapsed="false">
      <c r="B9" s="28" t="n">
        <f aca="false">Quarters!$F$7</f>
        <v>44926</v>
      </c>
      <c r="C9" s="7" t="s">
        <v>264</v>
      </c>
      <c r="D9" s="25" t="n">
        <f aca="false">-'Portfolio Companies'!$G$7</f>
        <v>-5000000</v>
      </c>
    </row>
    <row r="10" customFormat="false" ht="15" hidden="false" customHeight="true" outlineLevel="0" collapsed="false">
      <c r="B10" s="28" t="n">
        <f aca="false">Quarters!$F$8</f>
        <v>45016</v>
      </c>
      <c r="C10" s="7" t="s">
        <v>265</v>
      </c>
      <c r="D10" s="25" t="n">
        <f aca="false">-'Portfolio Companies'!$G$8</f>
        <v>-4000000</v>
      </c>
    </row>
    <row r="11" customFormat="false" ht="15" hidden="false" customHeight="true" outlineLevel="0" collapsed="false">
      <c r="B11" s="28" t="n">
        <f aca="false">Quarters!$F$9</f>
        <v>45107</v>
      </c>
      <c r="C11" s="7" t="s">
        <v>266</v>
      </c>
      <c r="D11" s="25" t="n">
        <f aca="false">-'Portfolio Companies'!$G$9</f>
        <v>-5000000</v>
      </c>
    </row>
    <row r="12" customFormat="false" ht="15" hidden="false" customHeight="true" outlineLevel="0" collapsed="false">
      <c r="B12" s="28" t="n">
        <f aca="false">Quarters!$F$10</f>
        <v>45199</v>
      </c>
      <c r="C12" s="7" t="s">
        <v>267</v>
      </c>
      <c r="D12" s="25" t="n">
        <f aca="false">-'Portfolio Companies'!$G$10</f>
        <v>-4500000</v>
      </c>
    </row>
    <row r="13" customFormat="false" ht="15" hidden="false" customHeight="true" outlineLevel="0" collapsed="false">
      <c r="B13" s="28" t="n">
        <f aca="false">Quarters!$F$11</f>
        <v>45291</v>
      </c>
      <c r="C13" s="7" t="s">
        <v>268</v>
      </c>
      <c r="D13" s="25" t="n">
        <f aca="false">-'Portfolio Companies'!$G$11</f>
        <v>-3500000</v>
      </c>
    </row>
    <row r="14" customFormat="false" ht="15" hidden="false" customHeight="true" outlineLevel="0" collapsed="false">
      <c r="B14" s="28" t="n">
        <f aca="false">Quarters!$F$12</f>
        <v>45382</v>
      </c>
      <c r="C14" s="7" t="s">
        <v>269</v>
      </c>
      <c r="D14" s="25" t="n">
        <f aca="false">-'Portfolio Companies'!$G$12</f>
        <v>-4000000</v>
      </c>
    </row>
    <row r="15" customFormat="false" ht="15" hidden="false" customHeight="true" outlineLevel="0" collapsed="false">
      <c r="B15" s="28" t="n">
        <f aca="false">Quarters!$F$13</f>
        <v>45473</v>
      </c>
      <c r="C15" s="7" t="s">
        <v>270</v>
      </c>
      <c r="D15" s="25" t="n">
        <f aca="false">-'Portfolio Companies'!$G$13</f>
        <v>-3500000</v>
      </c>
    </row>
    <row r="16" customFormat="false" ht="15" hidden="false" customHeight="true" outlineLevel="0" collapsed="false">
      <c r="B16" s="28" t="n">
        <f aca="false">Quarters!$F$16</f>
        <v>45747</v>
      </c>
      <c r="C16" s="7" t="s">
        <v>271</v>
      </c>
      <c r="D16" s="25" t="n">
        <f aca="false">'Portfolio Marks'!$J$16</f>
        <v>19411886.99</v>
      </c>
    </row>
    <row r="17" customFormat="false" ht="15" hidden="false" customHeight="true" outlineLevel="0" collapsed="false">
      <c r="B17" s="28" t="n">
        <f aca="false">Quarters!$F$18</f>
        <v>45930</v>
      </c>
      <c r="C17" s="7" t="s">
        <v>272</v>
      </c>
      <c r="D17" s="25" t="n">
        <f aca="false">'Portfolio Marks'!$J$30</f>
        <v>10993565.54</v>
      </c>
    </row>
    <row r="18" customFormat="false" ht="15" hidden="false" customHeight="true" outlineLevel="0" collapsed="false">
      <c r="B18" s="28" t="n">
        <f aca="false">Quarters!$F$21</f>
        <v>46203</v>
      </c>
      <c r="C18" s="7" t="s">
        <v>273</v>
      </c>
      <c r="D18" s="25" t="n">
        <f aca="false">'Portfolio Marks'!$J$61</f>
        <v>6125185.45</v>
      </c>
    </row>
    <row r="19" customFormat="false" ht="15" hidden="false" customHeight="true" outlineLevel="0" collapsed="false">
      <c r="B19" s="28" t="n">
        <f aca="false">Quarters!$F$20</f>
        <v>46112</v>
      </c>
      <c r="C19" s="7" t="s">
        <v>274</v>
      </c>
      <c r="D19" s="25" t="n">
        <f aca="false">'Portfolio Marks'!$J$87</f>
        <v>14803878.73</v>
      </c>
    </row>
    <row r="20" customFormat="false" ht="15" hidden="false" customHeight="true" outlineLevel="0" collapsed="false">
      <c r="B20" s="28" t="n">
        <f aca="false">Quarters!$F$21</f>
        <v>46203</v>
      </c>
      <c r="C20" s="7" t="s">
        <v>275</v>
      </c>
      <c r="D20" s="25" t="n">
        <f aca="false">'Portfolio Marks'!$J$99</f>
        <v>7670711.21</v>
      </c>
    </row>
    <row r="21" customFormat="false" ht="15" hidden="false" customHeight="true" outlineLevel="0" collapsed="false">
      <c r="B21" s="28" t="n">
        <f aca="false">Quarters!$F$21</f>
        <v>46203</v>
      </c>
      <c r="C21" s="7" t="s">
        <v>276</v>
      </c>
      <c r="D21" s="25" t="n">
        <f aca="false">'Portfolio Marks'!$J$120</f>
        <v>6199332.53</v>
      </c>
    </row>
    <row r="22" customFormat="false" ht="15" hidden="false" customHeight="true" outlineLevel="0" collapsed="false">
      <c r="B22" s="28" t="n">
        <f aca="false">Quarters!$F$21</f>
        <v>46203</v>
      </c>
      <c r="C22" s="7" t="s">
        <v>277</v>
      </c>
      <c r="D22" s="25" t="n">
        <f aca="false">'NAV Rollforward'!$J$21</f>
        <v>21700777.64</v>
      </c>
    </row>
    <row r="24" customFormat="false" ht="15" hidden="false" customHeight="true" outlineLevel="0" collapsed="false">
      <c r="B24" s="4" t="s">
        <v>278</v>
      </c>
      <c r="D24" s="29" t="n">
        <f aca="false">XIRR(D6:D22,B6:B22)</f>
        <v>0.255553921558004</v>
      </c>
    </row>
    <row r="25" customFormat="false" ht="15" hidden="false" customHeight="true" outlineLevel="0" collapsed="false">
      <c r="B25" s="4" t="s">
        <v>279</v>
      </c>
      <c r="D25" s="30" t="n">
        <f aca="false">(SUMIF(C6:C22,"&lt;&gt;Investment*",D6:D22))/(-SUMIF(C6:C22,"Investment*",D6:D22))</f>
        <v>1.91000743054945</v>
      </c>
    </row>
    <row r="28" customFormat="false" ht="15" hidden="false" customHeight="true" outlineLevel="0" collapsed="false">
      <c r="B28" s="6" t="s">
        <v>280</v>
      </c>
    </row>
    <row r="29" customFormat="false" ht="23.25" hidden="false" customHeight="true" outlineLevel="0" collapsed="false">
      <c r="B29" s="15" t="s">
        <v>175</v>
      </c>
      <c r="C29" s="15" t="s">
        <v>258</v>
      </c>
      <c r="D29" s="15" t="s">
        <v>259</v>
      </c>
      <c r="E29" s="15" t="s">
        <v>260</v>
      </c>
    </row>
    <row r="30" customFormat="false" ht="15" hidden="false" customHeight="true" outlineLevel="0" collapsed="false">
      <c r="B30" s="7" t="n">
        <v>1</v>
      </c>
      <c r="C30" s="28" t="n">
        <f aca="false">Quarters!$F$4</f>
        <v>44651</v>
      </c>
      <c r="D30" s="7" t="str">
        <f aca="false">Quarters!$E$4&amp;": capital call + distribution"</f>
        <v>Q1 2022: capital call + distribution</v>
      </c>
      <c r="E30" s="25" t="n">
        <f aca="false">-'Capital Call Schedule'!$F$4+'Distribution Waterfall'!$V$4</f>
        <v>-6250000</v>
      </c>
    </row>
    <row r="31" customFormat="false" ht="15" hidden="false" customHeight="true" outlineLevel="0" collapsed="false">
      <c r="B31" s="7" t="n">
        <v>2</v>
      </c>
      <c r="C31" s="28" t="n">
        <f aca="false">Quarters!$F$5</f>
        <v>44742</v>
      </c>
      <c r="D31" s="7" t="str">
        <f aca="false">Quarters!$E$5&amp;": capital call + distribution"</f>
        <v>Q2 2022: capital call + distribution</v>
      </c>
      <c r="E31" s="25" t="n">
        <f aca="false">-'Capital Call Schedule'!$F$5+'Distribution Waterfall'!$V$5</f>
        <v>-5750000</v>
      </c>
    </row>
    <row r="32" customFormat="false" ht="15" hidden="false" customHeight="true" outlineLevel="0" collapsed="false">
      <c r="B32" s="7" t="n">
        <v>3</v>
      </c>
      <c r="C32" s="28" t="n">
        <f aca="false">Quarters!$F$6</f>
        <v>44834</v>
      </c>
      <c r="D32" s="7" t="str">
        <f aca="false">Quarters!$E$6&amp;": capital call + distribution"</f>
        <v>Q3 2022: capital call + distribution</v>
      </c>
      <c r="E32" s="25" t="n">
        <f aca="false">-'Capital Call Schedule'!$F$6+'Distribution Waterfall'!$V$6</f>
        <v>-4750000</v>
      </c>
    </row>
    <row r="33" customFormat="false" ht="15" hidden="false" customHeight="true" outlineLevel="0" collapsed="false">
      <c r="B33" s="7" t="n">
        <v>4</v>
      </c>
      <c r="C33" s="28" t="n">
        <f aca="false">Quarters!$F$7</f>
        <v>44926</v>
      </c>
      <c r="D33" s="7" t="str">
        <f aca="false">Quarters!$E$7&amp;": capital call + distribution"</f>
        <v>Q4 2022: capital call + distribution</v>
      </c>
      <c r="E33" s="25" t="n">
        <f aca="false">-'Capital Call Schedule'!$F$7+'Distribution Waterfall'!$V$7</f>
        <v>-5250000</v>
      </c>
    </row>
    <row r="34" customFormat="false" ht="15" hidden="false" customHeight="true" outlineLevel="0" collapsed="false">
      <c r="B34" s="7" t="n">
        <v>5</v>
      </c>
      <c r="C34" s="28" t="n">
        <f aca="false">Quarters!$F$8</f>
        <v>45016</v>
      </c>
      <c r="D34" s="7" t="str">
        <f aca="false">Quarters!$E$8&amp;": capital call + distribution"</f>
        <v>Q1 2023: capital call + distribution</v>
      </c>
      <c r="E34" s="25" t="n">
        <f aca="false">-'Capital Call Schedule'!$F$8+'Distribution Waterfall'!$V$8</f>
        <v>-4250000</v>
      </c>
    </row>
    <row r="35" customFormat="false" ht="15" hidden="false" customHeight="true" outlineLevel="0" collapsed="false">
      <c r="B35" s="7" t="n">
        <v>6</v>
      </c>
      <c r="C35" s="28" t="n">
        <f aca="false">Quarters!$F$9</f>
        <v>45107</v>
      </c>
      <c r="D35" s="7" t="str">
        <f aca="false">Quarters!$E$9&amp;": capital call + distribution"</f>
        <v>Q2 2023: capital call + distribution</v>
      </c>
      <c r="E35" s="25" t="n">
        <f aca="false">-'Capital Call Schedule'!$F$9+'Distribution Waterfall'!$V$9</f>
        <v>-5250000</v>
      </c>
    </row>
    <row r="36" customFormat="false" ht="15" hidden="false" customHeight="true" outlineLevel="0" collapsed="false">
      <c r="B36" s="7" t="n">
        <v>7</v>
      </c>
      <c r="C36" s="28" t="n">
        <f aca="false">Quarters!$F$10</f>
        <v>45199</v>
      </c>
      <c r="D36" s="7" t="str">
        <f aca="false">Quarters!$E$10&amp;": capital call + distribution"</f>
        <v>Q3 2023: capital call + distribution</v>
      </c>
      <c r="E36" s="25" t="n">
        <f aca="false">-'Capital Call Schedule'!$F$10+'Distribution Waterfall'!$V$10</f>
        <v>-4750000</v>
      </c>
    </row>
    <row r="37" customFormat="false" ht="15" hidden="false" customHeight="true" outlineLevel="0" collapsed="false">
      <c r="B37" s="7" t="n">
        <v>8</v>
      </c>
      <c r="C37" s="28" t="n">
        <f aca="false">Quarters!$F$11</f>
        <v>45291</v>
      </c>
      <c r="D37" s="7" t="str">
        <f aca="false">Quarters!$E$11&amp;": capital call + distribution"</f>
        <v>Q4 2023: capital call + distribution</v>
      </c>
      <c r="E37" s="25" t="n">
        <f aca="false">-'Capital Call Schedule'!$F$11+'Distribution Waterfall'!$V$11</f>
        <v>-3750000</v>
      </c>
    </row>
    <row r="38" customFormat="false" ht="15" hidden="false" customHeight="true" outlineLevel="0" collapsed="false">
      <c r="B38" s="7" t="n">
        <v>9</v>
      </c>
      <c r="C38" s="28" t="n">
        <f aca="false">Quarters!$F$12</f>
        <v>45382</v>
      </c>
      <c r="D38" s="7" t="str">
        <f aca="false">Quarters!$E$12&amp;": capital call + distribution"</f>
        <v>Q1 2024: capital call + distribution</v>
      </c>
      <c r="E38" s="25" t="n">
        <f aca="false">-'Capital Call Schedule'!$F$12+'Distribution Waterfall'!$V$12</f>
        <v>-4250000</v>
      </c>
    </row>
    <row r="39" customFormat="false" ht="15" hidden="false" customHeight="true" outlineLevel="0" collapsed="false">
      <c r="B39" s="7" t="n">
        <v>10</v>
      </c>
      <c r="C39" s="28" t="n">
        <f aca="false">Quarters!$F$13</f>
        <v>45473</v>
      </c>
      <c r="D39" s="7" t="str">
        <f aca="false">Quarters!$E$13&amp;": capital call + distribution"</f>
        <v>Q2 2024: capital call + distribution</v>
      </c>
      <c r="E39" s="25" t="n">
        <f aca="false">-'Capital Call Schedule'!$F$13+'Distribution Waterfall'!$V$13</f>
        <v>-3750000</v>
      </c>
    </row>
    <row r="40" customFormat="false" ht="15" hidden="false" customHeight="true" outlineLevel="0" collapsed="false">
      <c r="B40" s="7" t="n">
        <v>11</v>
      </c>
      <c r="C40" s="28" t="n">
        <f aca="false">Quarters!$F$14</f>
        <v>45565</v>
      </c>
      <c r="D40" s="7" t="str">
        <f aca="false">Quarters!$E$14&amp;": capital call + distribution"</f>
        <v>Q3 2024: capital call + distribution</v>
      </c>
      <c r="E40" s="25" t="n">
        <f aca="false">-'Capital Call Schedule'!$F$14+'Distribution Waterfall'!$V$14</f>
        <v>-250000</v>
      </c>
    </row>
    <row r="41" customFormat="false" ht="15" hidden="false" customHeight="true" outlineLevel="0" collapsed="false">
      <c r="B41" s="7" t="n">
        <v>12</v>
      </c>
      <c r="C41" s="28" t="n">
        <f aca="false">Quarters!$F$15</f>
        <v>45657</v>
      </c>
      <c r="D41" s="7" t="str">
        <f aca="false">Quarters!$E$15&amp;": capital call + distribution"</f>
        <v>Q4 2024: capital call + distribution</v>
      </c>
      <c r="E41" s="25" t="n">
        <f aca="false">-'Capital Call Schedule'!$F$15+'Distribution Waterfall'!$V$15</f>
        <v>-250000</v>
      </c>
    </row>
    <row r="42" customFormat="false" ht="15" hidden="false" customHeight="true" outlineLevel="0" collapsed="false">
      <c r="B42" s="7" t="n">
        <v>13</v>
      </c>
      <c r="C42" s="28" t="n">
        <f aca="false">Quarters!$F$16</f>
        <v>45747</v>
      </c>
      <c r="D42" s="7" t="str">
        <f aca="false">Quarters!$E$16&amp;": capital call + distribution"</f>
        <v>Q1 2025: capital call + distribution</v>
      </c>
      <c r="E42" s="25" t="n">
        <f aca="false">-'Capital Call Schedule'!$F$16+'Distribution Waterfall'!$V$16</f>
        <v>19184386.99</v>
      </c>
    </row>
    <row r="43" customFormat="false" ht="15" hidden="false" customHeight="true" outlineLevel="0" collapsed="false">
      <c r="B43" s="7" t="n">
        <v>14</v>
      </c>
      <c r="C43" s="28" t="n">
        <f aca="false">Quarters!$F$17</f>
        <v>45838</v>
      </c>
      <c r="D43" s="7" t="str">
        <f aca="false">Quarters!$E$17&amp;": capital call + distribution"</f>
        <v>Q2 2025: capital call + distribution</v>
      </c>
      <c r="E43" s="25" t="n">
        <f aca="false">-'Capital Call Schedule'!$F$17+'Distribution Waterfall'!$V$17</f>
        <v>-227500</v>
      </c>
    </row>
    <row r="44" customFormat="false" ht="15" hidden="false" customHeight="true" outlineLevel="0" collapsed="false">
      <c r="B44" s="7" t="n">
        <v>15</v>
      </c>
      <c r="C44" s="28" t="n">
        <f aca="false">Quarters!$F$18</f>
        <v>45930</v>
      </c>
      <c r="D44" s="7" t="str">
        <f aca="false">Quarters!$E$18&amp;": capital call + distribution"</f>
        <v>Q3 2025: capital call + distribution</v>
      </c>
      <c r="E44" s="25" t="n">
        <f aca="false">-'Capital Call Schedule'!$F$18+'Distribution Waterfall'!$V$18</f>
        <v>10796065.54</v>
      </c>
    </row>
    <row r="45" customFormat="false" ht="15" hidden="false" customHeight="true" outlineLevel="0" collapsed="false">
      <c r="B45" s="7" t="n">
        <v>16</v>
      </c>
      <c r="C45" s="28" t="n">
        <f aca="false">Quarters!$F$19</f>
        <v>46022</v>
      </c>
      <c r="D45" s="7" t="str">
        <f aca="false">Quarters!$E$19&amp;": capital call + distribution"</f>
        <v>Q4 2025: capital call + distribution</v>
      </c>
      <c r="E45" s="25" t="n">
        <f aca="false">-'Capital Call Schedule'!$F$19+'Distribution Waterfall'!$V$19</f>
        <v>-197500</v>
      </c>
    </row>
    <row r="46" customFormat="false" ht="15" hidden="false" customHeight="true" outlineLevel="0" collapsed="false">
      <c r="B46" s="7" t="n">
        <v>17</v>
      </c>
      <c r="C46" s="28" t="n">
        <f aca="false">Quarters!$F$20</f>
        <v>46112</v>
      </c>
      <c r="D46" s="7" t="str">
        <f aca="false">Quarters!$E$20&amp;": capital call + distribution"</f>
        <v>Q1 2026: capital call + distribution</v>
      </c>
      <c r="E46" s="25" t="n">
        <f aca="false">-'Capital Call Schedule'!$F$20+'Distribution Waterfall'!$V$20</f>
        <v>14633878.73</v>
      </c>
    </row>
    <row r="47" customFormat="false" ht="15" hidden="false" customHeight="true" outlineLevel="0" collapsed="false">
      <c r="B47" s="7" t="n">
        <v>18</v>
      </c>
      <c r="C47" s="28" t="n">
        <f aca="false">Quarters!$F$21</f>
        <v>46203</v>
      </c>
      <c r="D47" s="7" t="str">
        <f aca="false">Quarters!$E$21&amp;": capital call + distribution"</f>
        <v>Q2 2026: capital call + distribution</v>
      </c>
      <c r="E47" s="25" t="n">
        <f aca="false">-'Capital Call Schedule'!$F$21+'Distribution Waterfall'!$V$21</f>
        <v>16722317.1</v>
      </c>
    </row>
    <row r="48" customFormat="false" ht="15" hidden="false" customHeight="true" outlineLevel="0" collapsed="false">
      <c r="C48" s="28" t="n">
        <f aca="false">Quarters!$F$21</f>
        <v>46203</v>
      </c>
      <c r="D48" s="7" t="s">
        <v>281</v>
      </c>
      <c r="E48" s="25" t="n">
        <f aca="false">'NAV Rollforward'!$J$21</f>
        <v>21700777.64</v>
      </c>
    </row>
    <row r="50" customFormat="false" ht="15" hidden="false" customHeight="true" outlineLevel="0" collapsed="false">
      <c r="B50" s="4" t="s">
        <v>282</v>
      </c>
      <c r="E50" s="29" t="n">
        <f aca="false">XIRR(E30:E48,C30:C48)</f>
        <v>0.208954418955691</v>
      </c>
    </row>
    <row r="51" customFormat="false" ht="15" hidden="false" customHeight="true" outlineLevel="0" collapsed="false">
      <c r="B51" s="4" t="s">
        <v>283</v>
      </c>
      <c r="E51" s="30" t="n">
        <f aca="false">('Distribution Waterfall'!$V$22+'NAV Rollforward'!$J$21)/'Capital Call Schedule'!$F$22</f>
        <v>1.68650485007044</v>
      </c>
    </row>
    <row r="52" customFormat="false" ht="15" hidden="false" customHeight="true" outlineLevel="0" collapsed="false">
      <c r="B52" s="7" t="s">
        <v>284</v>
      </c>
      <c r="E52" s="31" t="n">
        <f aca="false">'Distribution Waterfall'!$V$22/'Capital Call Schedule'!$F$22</f>
        <v>1.24978161320185</v>
      </c>
    </row>
    <row r="53" customFormat="false" ht="15" hidden="false" customHeight="true" outlineLevel="0" collapsed="false">
      <c r="B53" s="7" t="s">
        <v>285</v>
      </c>
      <c r="E53" s="31" t="n">
        <f aca="false">'NAV Rollforward'!$J$21/'Capital Call Schedule'!$F$22</f>
        <v>0.436723236868585</v>
      </c>
    </row>
    <row r="56" customFormat="false" ht="15" hidden="false" customHeight="true" outlineLevel="0" collapsed="false">
      <c r="B56" s="7" t="s">
        <v>286</v>
      </c>
      <c r="E56" s="32" t="n">
        <f aca="false">'IRR &amp; MOIC Summary'!$D$24</f>
        <v>0.255553921558004</v>
      </c>
    </row>
    <row r="57" customFormat="false" ht="15" hidden="false" customHeight="true" outlineLevel="0" collapsed="false">
      <c r="B57" s="7" t="s">
        <v>287</v>
      </c>
      <c r="E57" s="33" t="n">
        <f aca="false">'IRR &amp; MOIC Summary'!$D$25</f>
        <v>1.91000743054945</v>
      </c>
    </row>
    <row r="58" customFormat="false" ht="15" hidden="false" customHeight="true" outlineLevel="0" collapsed="false">
      <c r="B58" s="11" t="s">
        <v>288</v>
      </c>
      <c r="C58" s="11" t="s">
        <v>289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26"/>
    <col collapsed="false" customWidth="true" hidden="false" outlineLevel="0" max="5" min="4" style="1" width="20"/>
    <col collapsed="false" customWidth="true" hidden="false" outlineLevel="0" max="6" min="6" style="1" width="16"/>
    <col collapsed="false" customWidth="true" hidden="false" outlineLevel="0" max="7" min="7" style="1" width="26"/>
  </cols>
  <sheetData>
    <row r="1" customFormat="false" ht="21.75" hidden="false" customHeight="true" outlineLevel="0" collapsed="false">
      <c r="A1" s="2" t="s">
        <v>290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291</v>
      </c>
      <c r="B2" s="3"/>
      <c r="C2" s="3"/>
      <c r="D2" s="3"/>
      <c r="E2" s="3"/>
      <c r="F2" s="3"/>
    </row>
    <row r="4" customFormat="false" ht="15" hidden="false" customHeight="true" outlineLevel="0" collapsed="false">
      <c r="B4" s="6" t="s">
        <v>292</v>
      </c>
    </row>
    <row r="5" customFormat="false" ht="15" hidden="false" customHeight="true" outlineLevel="0" collapsed="false">
      <c r="B5" s="15" t="s">
        <v>293</v>
      </c>
      <c r="C5" s="15" t="s">
        <v>294</v>
      </c>
      <c r="D5" s="15" t="s">
        <v>295</v>
      </c>
      <c r="E5" s="15" t="s">
        <v>296</v>
      </c>
      <c r="F5" s="15" t="s">
        <v>297</v>
      </c>
      <c r="G5" s="15" t="s">
        <v>298</v>
      </c>
    </row>
    <row r="6" customFormat="false" ht="15" hidden="false" customHeight="true" outlineLevel="0" collapsed="false">
      <c r="B6" s="7" t="s">
        <v>299</v>
      </c>
      <c r="C6" s="7" t="s">
        <v>300</v>
      </c>
      <c r="D6" s="25" t="n">
        <f aca="false">'Capital Call Schedule'!$F$12</f>
        <v>4250000</v>
      </c>
      <c r="E6" s="22" t="n">
        <f aca="false">'Capital Call Schedule'!$F$12-('Capital Call Schedule'!$F$12*'LP Register'!$F$8+'Capital Call Schedule'!$F$12*'LP Register'!$F$12)</f>
        <v>3740000</v>
      </c>
      <c r="F6" s="22" t="n">
        <f aca="false">E6-D6</f>
        <v>-510000</v>
      </c>
      <c r="G6" s="7" t="s">
        <v>301</v>
      </c>
    </row>
    <row r="7" customFormat="false" ht="15" hidden="false" customHeight="true" outlineLevel="0" collapsed="false">
      <c r="B7" s="7" t="s">
        <v>302</v>
      </c>
      <c r="C7" s="7" t="s">
        <v>303</v>
      </c>
      <c r="D7" s="25" t="n">
        <f aca="false">'Mgmt Fee Schedule'!$G$16+'Mgmt Fee Schedule'!$G$17+'Mgmt Fee Schedule'!$G$18+'Mgmt Fee Schedule'!$G$19</f>
        <v>850000</v>
      </c>
      <c r="E7" s="22" t="n">
        <f aca="false">(Assumptions!$C$5*Assumptions!$C$9/4)+(Assumptions!$C$5*Assumptions!$C$9/4)+(Assumptions!$C$5*Assumptions!$C$9/4)+(Assumptions!$C$5*Assumptions!$C$9/4)</f>
        <v>1000000</v>
      </c>
      <c r="F7" s="22" t="n">
        <f aca="false">D7-E7</f>
        <v>-150000</v>
      </c>
      <c r="G7" s="7" t="s">
        <v>304</v>
      </c>
    </row>
    <row r="8" customFormat="false" ht="15" hidden="false" customHeight="true" outlineLevel="0" collapsed="false">
      <c r="B8" s="7" t="s">
        <v>305</v>
      </c>
      <c r="C8" s="7" t="s">
        <v>306</v>
      </c>
      <c r="D8" s="25" t="n">
        <f aca="false">'Variance Reconciliation'!$F$36</f>
        <v>3102912.09</v>
      </c>
      <c r="E8" s="25" t="n">
        <f aca="false">'Variance Reconciliation'!$F$35</f>
        <v>2774008.748</v>
      </c>
      <c r="F8" s="22" t="n">
        <f aca="false">E8-D8</f>
        <v>-328903.341999999</v>
      </c>
      <c r="G8" s="7" t="s">
        <v>307</v>
      </c>
    </row>
    <row r="9" customFormat="false" ht="15" hidden="false" customHeight="true" outlineLevel="0" collapsed="false">
      <c r="B9" s="7" t="s">
        <v>308</v>
      </c>
      <c r="C9" s="7" t="s">
        <v>309</v>
      </c>
      <c r="D9" s="18" t="n">
        <v>0</v>
      </c>
      <c r="E9" s="18" t="n">
        <v>-375</v>
      </c>
      <c r="F9" s="22" t="n">
        <f aca="false">E9-D9</f>
        <v>-375</v>
      </c>
      <c r="G9" s="7" t="s">
        <v>310</v>
      </c>
    </row>
    <row r="12" customFormat="false" ht="15" hidden="false" customHeight="true" outlineLevel="0" collapsed="false">
      <c r="C12" s="6" t="s">
        <v>311</v>
      </c>
    </row>
    <row r="13" customFormat="false" ht="15" hidden="false" customHeight="true" outlineLevel="0" collapsed="false">
      <c r="C13" s="15" t="s">
        <v>69</v>
      </c>
      <c r="D13" s="15" t="s">
        <v>312</v>
      </c>
      <c r="E13" s="15" t="s">
        <v>313</v>
      </c>
      <c r="F13" s="15" t="s">
        <v>297</v>
      </c>
    </row>
    <row r="14" customFormat="false" ht="15" hidden="false" customHeight="true" outlineLevel="0" collapsed="false">
      <c r="C14" s="9" t="str">
        <f aca="false">Quarters!$E$16</f>
        <v>Q1 2025</v>
      </c>
      <c r="D14" s="25" t="n">
        <f aca="false">'Mgmt Fee Schedule'!$G$16</f>
        <v>227500</v>
      </c>
      <c r="E14" s="22" t="n">
        <f aca="false">Assumptions!$C$5*Assumptions!$C$9/4</f>
        <v>250000</v>
      </c>
      <c r="F14" s="22" t="n">
        <f aca="false">D14-E14</f>
        <v>-22500</v>
      </c>
    </row>
    <row r="15" customFormat="false" ht="15" hidden="false" customHeight="true" outlineLevel="0" collapsed="false">
      <c r="C15" s="9" t="str">
        <f aca="false">Quarters!$E$17</f>
        <v>Q2 2025</v>
      </c>
      <c r="D15" s="25" t="n">
        <f aca="false">'Mgmt Fee Schedule'!$G$17</f>
        <v>227500</v>
      </c>
      <c r="E15" s="22" t="n">
        <f aca="false">Assumptions!$C$5*Assumptions!$C$9/4</f>
        <v>250000</v>
      </c>
      <c r="F15" s="22" t="n">
        <f aca="false">D15-E15</f>
        <v>-22500</v>
      </c>
    </row>
    <row r="16" customFormat="false" ht="15" hidden="false" customHeight="true" outlineLevel="0" collapsed="false">
      <c r="C16" s="9" t="str">
        <f aca="false">Quarters!$E$18</f>
        <v>Q3 2025</v>
      </c>
      <c r="D16" s="25" t="n">
        <f aca="false">'Mgmt Fee Schedule'!$G$18</f>
        <v>197500</v>
      </c>
      <c r="E16" s="22" t="n">
        <f aca="false">Assumptions!$C$5*Assumptions!$C$9/4</f>
        <v>250000</v>
      </c>
      <c r="F16" s="22" t="n">
        <f aca="false">D16-E16</f>
        <v>-52500</v>
      </c>
    </row>
    <row r="17" customFormat="false" ht="15" hidden="false" customHeight="true" outlineLevel="0" collapsed="false">
      <c r="C17" s="9" t="str">
        <f aca="false">Quarters!$E$19</f>
        <v>Q4 2025</v>
      </c>
      <c r="D17" s="25" t="n">
        <f aca="false">'Mgmt Fee Schedule'!$G$19</f>
        <v>197500</v>
      </c>
      <c r="E17" s="22" t="n">
        <f aca="false">Assumptions!$C$5*Assumptions!$C$9/4</f>
        <v>250000</v>
      </c>
      <c r="F17" s="22" t="n">
        <f aca="false">D17-E17</f>
        <v>-52500</v>
      </c>
    </row>
    <row r="19" customFormat="false" ht="15" hidden="false" customHeight="true" outlineLevel="0" collapsed="false">
      <c r="C19" s="6" t="s">
        <v>314</v>
      </c>
    </row>
    <row r="20" customFormat="false" ht="15" hidden="false" customHeight="true" outlineLevel="0" collapsed="false">
      <c r="C20" s="11" t="s">
        <v>315</v>
      </c>
    </row>
    <row r="21" customFormat="false" ht="15" hidden="false" customHeight="true" outlineLevel="0" collapsed="false">
      <c r="C21" s="7" t="s">
        <v>316</v>
      </c>
      <c r="F21" s="25" t="n">
        <f aca="false">'Portfolio Marks'!$J$61</f>
        <v>6125185.45</v>
      </c>
    </row>
    <row r="22" customFormat="false" ht="15" hidden="false" customHeight="true" outlineLevel="0" collapsed="false">
      <c r="C22" s="7" t="s">
        <v>317</v>
      </c>
      <c r="F22" s="22" t="n">
        <f aca="false">'Distribution Waterfall'!$D$21-'Portfolio Marks'!$J$61</f>
        <v>13870043.74</v>
      </c>
    </row>
    <row r="23" customFormat="false" ht="15" hidden="false" customHeight="true" outlineLevel="0" collapsed="false">
      <c r="C23" s="7" t="s">
        <v>318</v>
      </c>
      <c r="F23" s="25" t="n">
        <f aca="false">'Distribution Waterfall'!$F$21</f>
        <v>49690000</v>
      </c>
    </row>
    <row r="24" customFormat="false" ht="15" hidden="false" customHeight="true" outlineLevel="0" collapsed="false">
      <c r="C24" s="7" t="s">
        <v>319</v>
      </c>
      <c r="F24" s="22" t="n">
        <f aca="false">'Distribution Waterfall'!$G$21+'Portfolio Marks'!$J$61</f>
        <v>51334516.71</v>
      </c>
    </row>
    <row r="25" customFormat="false" ht="15" hidden="false" customHeight="true" outlineLevel="0" collapsed="false">
      <c r="C25" s="7" t="s">
        <v>320</v>
      </c>
      <c r="F25" s="25" t="n">
        <f aca="false">'Distribution Waterfall'!$I$21</f>
        <v>9617219.794</v>
      </c>
    </row>
    <row r="26" customFormat="false" ht="15" hidden="false" customHeight="true" outlineLevel="0" collapsed="false">
      <c r="C26" s="7" t="s">
        <v>321</v>
      </c>
      <c r="F26" s="25" t="n">
        <f aca="false">'Distribution Waterfall'!$J$21</f>
        <v>0</v>
      </c>
    </row>
    <row r="27" customFormat="false" ht="15" hidden="false" customHeight="true" outlineLevel="0" collapsed="false">
      <c r="C27" s="7" t="s">
        <v>322</v>
      </c>
      <c r="F27" s="25" t="n">
        <f aca="false">'Distribution Waterfall'!$K$21</f>
        <v>0</v>
      </c>
    </row>
    <row r="28" customFormat="false" ht="15" hidden="false" customHeight="true" outlineLevel="0" collapsed="false">
      <c r="C28" s="7" t="s">
        <v>323</v>
      </c>
      <c r="F28" s="22" t="n">
        <f aca="false">MIN($F$22,MAX($F$23-$F$24,0))</f>
        <v>0</v>
      </c>
    </row>
    <row r="29" customFormat="false" ht="15" hidden="false" customHeight="true" outlineLevel="0" collapsed="false">
      <c r="C29" s="7" t="s">
        <v>324</v>
      </c>
      <c r="F29" s="22" t="n">
        <f aca="false">MIN($F$22-$F$28,MAX($F$25-$F$26,0))</f>
        <v>9617219.794</v>
      </c>
    </row>
    <row r="30" customFormat="false" ht="15" hidden="false" customHeight="true" outlineLevel="0" collapsed="false">
      <c r="C30" s="7" t="s">
        <v>325</v>
      </c>
      <c r="F30" s="22" t="n">
        <f aca="false">$F$26+$F$29</f>
        <v>9617219.794</v>
      </c>
    </row>
    <row r="31" customFormat="false" ht="15" hidden="false" customHeight="true" outlineLevel="0" collapsed="false">
      <c r="C31" s="7" t="s">
        <v>326</v>
      </c>
      <c r="F31" s="22" t="n">
        <f aca="false">(Assumptions!$C$13/(1-Assumptions!$C$13))*$F$30</f>
        <v>2404304.9485</v>
      </c>
    </row>
    <row r="32" customFormat="false" ht="15" hidden="false" customHeight="true" outlineLevel="0" collapsed="false">
      <c r="C32" s="7" t="s">
        <v>327</v>
      </c>
      <c r="F32" s="22" t="n">
        <f aca="false">MIN($F$22-$F$28-$F$29,MAX($F$31-$F$27,0))</f>
        <v>2404304.9485</v>
      </c>
    </row>
    <row r="33" customFormat="false" ht="15" hidden="false" customHeight="true" outlineLevel="0" collapsed="false">
      <c r="C33" s="7" t="s">
        <v>328</v>
      </c>
      <c r="F33" s="22" t="n">
        <f aca="false">$F$22-$F$28-$F$29-$F$32</f>
        <v>1848518.9975</v>
      </c>
    </row>
    <row r="34" customFormat="false" ht="15" hidden="false" customHeight="true" outlineLevel="0" collapsed="false">
      <c r="C34" s="7" t="s">
        <v>329</v>
      </c>
      <c r="F34" s="22" t="n">
        <f aca="false">$F$33*Assumptions!$C$13</f>
        <v>369703.7995</v>
      </c>
    </row>
    <row r="35" customFormat="false" ht="15" hidden="false" customHeight="true" outlineLevel="0" collapsed="false">
      <c r="C35" s="4" t="s">
        <v>330</v>
      </c>
      <c r="F35" s="26" t="n">
        <f aca="false">$F$32+$F$34</f>
        <v>2774008.748</v>
      </c>
    </row>
    <row r="36" customFormat="false" ht="15" hidden="false" customHeight="true" outlineLevel="0" collapsed="false">
      <c r="C36" s="4" t="s">
        <v>331</v>
      </c>
      <c r="F36" s="25" t="n">
        <f aca="false">'Distribution Waterfall'!$W$21</f>
        <v>3102912.09</v>
      </c>
    </row>
    <row r="38" customFormat="false" ht="15" hidden="false" customHeight="true" outlineLevel="0" collapsed="false">
      <c r="C38" s="4" t="s">
        <v>332</v>
      </c>
      <c r="F38" s="20" t="n">
        <f aca="false">ABS(E7-D7)+ABS(E8-D8)</f>
        <v>478903.341999999</v>
      </c>
    </row>
    <row r="41" customFormat="false" ht="15" hidden="false" customHeight="true" outlineLevel="0" collapsed="false">
      <c r="B41" s="6" t="s">
        <v>333</v>
      </c>
    </row>
    <row r="42" customFormat="false" ht="45" hidden="false" customHeight="true" outlineLevel="0" collapsed="false">
      <c r="B42" s="4" t="s">
        <v>299</v>
      </c>
      <c r="C42" s="34" t="s">
        <v>334</v>
      </c>
      <c r="D42" s="34"/>
      <c r="E42" s="34"/>
      <c r="F42" s="34"/>
      <c r="G42" s="34"/>
    </row>
    <row r="43" customFormat="false" ht="30" hidden="false" customHeight="true" outlineLevel="0" collapsed="false">
      <c r="C43" s="35" t="s">
        <v>335</v>
      </c>
      <c r="D43" s="35"/>
      <c r="E43" s="35"/>
      <c r="F43" s="35"/>
      <c r="G43" s="35"/>
    </row>
    <row r="45" customFormat="false" ht="45" hidden="false" customHeight="true" outlineLevel="0" collapsed="false">
      <c r="B45" s="4" t="s">
        <v>302</v>
      </c>
      <c r="C45" s="34" t="s">
        <v>336</v>
      </c>
      <c r="D45" s="34"/>
      <c r="E45" s="34"/>
      <c r="F45" s="34"/>
      <c r="G45" s="34"/>
    </row>
    <row r="46" customFormat="false" ht="30" hidden="false" customHeight="true" outlineLevel="0" collapsed="false">
      <c r="C46" s="35" t="s">
        <v>337</v>
      </c>
      <c r="D46" s="35"/>
      <c r="E46" s="35"/>
      <c r="F46" s="35"/>
      <c r="G46" s="35"/>
    </row>
    <row r="48" customFormat="false" ht="45" hidden="false" customHeight="true" outlineLevel="0" collapsed="false">
      <c r="B48" s="4" t="s">
        <v>305</v>
      </c>
      <c r="C48" s="34" t="s">
        <v>338</v>
      </c>
      <c r="D48" s="34"/>
      <c r="E48" s="34"/>
      <c r="F48" s="34"/>
      <c r="G48" s="34"/>
    </row>
    <row r="49" customFormat="false" ht="30" hidden="false" customHeight="true" outlineLevel="0" collapsed="false">
      <c r="C49" s="35" t="s">
        <v>339</v>
      </c>
      <c r="D49" s="35"/>
      <c r="E49" s="35"/>
      <c r="F49" s="35"/>
      <c r="G49" s="35"/>
    </row>
    <row r="51" customFormat="false" ht="45" hidden="false" customHeight="true" outlineLevel="0" collapsed="false">
      <c r="B51" s="4" t="s">
        <v>308</v>
      </c>
      <c r="C51" s="34" t="s">
        <v>340</v>
      </c>
      <c r="D51" s="34"/>
      <c r="E51" s="34"/>
      <c r="F51" s="34"/>
      <c r="G51" s="34"/>
    </row>
    <row r="52" customFormat="false" ht="30" hidden="false" customHeight="true" outlineLevel="0" collapsed="false">
      <c r="C52" s="35" t="s">
        <v>341</v>
      </c>
      <c r="D52" s="35"/>
      <c r="E52" s="35"/>
      <c r="F52" s="35"/>
      <c r="G52" s="35"/>
    </row>
  </sheetData>
  <mergeCells count="10">
    <mergeCell ref="A1:F1"/>
    <mergeCell ref="A2:F2"/>
    <mergeCell ref="C42:G42"/>
    <mergeCell ref="C43:G43"/>
    <mergeCell ref="C45:G45"/>
    <mergeCell ref="C46:G46"/>
    <mergeCell ref="C48:G48"/>
    <mergeCell ref="C49:G49"/>
    <mergeCell ref="C51:G51"/>
    <mergeCell ref="C52:G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2026-08-24T16:19:50Z</dcterms:created>
  <dc:creator>Chethana Kuppala</dc:creator>
  <dc:description/>
  <dc:language>en-US</dc:language>
  <cp:lastModifiedBy>Chethana Kuppala</cp:lastModifiedBy>
  <dcterms:modified xsi:type="dcterms:W3CDTF">2026-08-24T17:30:17Z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